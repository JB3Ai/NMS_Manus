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Package Builder" sheetId="2" state="visible" r:id="rId4"/>
    <sheet name="Scope Matrix" sheetId="3" state="visible" r:id="rId5"/>
    <sheet name="Add-Ons" sheetId="4" state="visible" r:id="rId6"/>
    <sheet name="ROI Model" sheetId="5" state="visible" r:id="rId7"/>
  </sheets>
  <definedNames>
    <definedName function="false" hidden="true" localSheetId="3" name="_xlnm._FilterDatabase" vbProcedure="false">'Add-Ons'!$A$2:$J$19</definedName>
    <definedName function="false" hidden="true" localSheetId="2" name="_xlnm._FilterDatabase" vbProcedure="false">'Scope Matrix'!$A$2:$J$22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Select one of the five retainer packages.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0</xdr:row>
                <xdr:rowOff>2</xdr:rowOff>
              </xdr:from>
              <xdr:to>
                <xdr:col>2</xdr:col>
                <xdr:colOff>-121</xdr:colOff>
                <xdr:row>2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The minimum term is three months. Longer terms discount service delivery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0</xdr:row>
                <xdr:rowOff>2</xdr:rowOff>
              </xdr:from>
              <xdr:to>
                <xdr:col>2</xdr:col>
                <xdr:colOff>-121</xdr:colOff>
                <xdr:row>2</xdr:row>
                <xdr:rowOff>16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Replace with NMS verified average order or transaction value.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0</xdr:row>
                <xdr:rowOff>2</xdr:rowOff>
              </xdr:from>
              <xdr:to>
                <xdr:col>2</xdr:col>
                <xdr:colOff>-205</xdr:colOff>
                <xdr:row>2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Use contribution/gross margin after direct fulfilment costs, not revenue margin.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0</xdr:row>
                <xdr:rowOff>2</xdr:rowOff>
              </xdr:from>
              <xdr:to>
                <xdr:col>2</xdr:col>
                <xdr:colOff>-205</xdr:colOff>
                <xdr:row>2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<sst xmlns="http://schemas.openxmlformats.org/spreadsheetml/2006/main" count="244" uniqueCount="217">
  <si>
    <t xml:space="preserve">NMS TURNKEY DIGITAL GROWTH PROGRAMME</t>
  </si>
  <si>
    <t xml:space="preserve">Editable package selector and planning model | South Africa | ZAR | Generated 16 August 2026</t>
  </si>
  <si>
    <t xml:space="preserve">How to use this workbook</t>
  </si>
  <si>
    <t xml:space="preserve">Start in Package Builder: choose a package and 3, 6, 9 or 12-month commitment. Then select optional items in Add-Ons and enter commercial assumptions in ROI Model. Yellow cells are inputs; green cells are calculated. All returns are planning scenarios, not guarantees.</t>
  </si>
  <si>
    <t xml:space="preserve">Package comparison</t>
  </si>
  <si>
    <t xml:space="preserve">Package</t>
  </si>
  <si>
    <t xml:space="preserve">Monthly budget</t>
  </si>
  <si>
    <t xml:space="preserve">Service delivery</t>
  </si>
  <si>
    <t xml:space="preserve">Media allowance</t>
  </si>
  <si>
    <t xml:space="preserve">Tools allowance</t>
  </si>
  <si>
    <t xml:space="preserve">Best fit</t>
  </si>
  <si>
    <t xml:space="preserve">Foundation</t>
  </si>
  <si>
    <t xml:space="preserve">Credible launch foundation and lead capture</t>
  </si>
  <si>
    <t xml:space="preserve">Launch</t>
  </si>
  <si>
    <t xml:space="preserve">Brand, store and content engine go live</t>
  </si>
  <si>
    <t xml:space="preserve">Growth</t>
  </si>
  <si>
    <t xml:space="preserve">Always-on acquisition, SEO and automation</t>
  </si>
  <si>
    <t xml:space="preserve">Scale</t>
  </si>
  <si>
    <t xml:space="preserve">Multi-channel growth with higher content velocity</t>
  </si>
  <si>
    <t xml:space="preserve">Market Leader</t>
  </si>
  <si>
    <t xml:space="preserve">Full-funnel execution, experiments and senior oversight</t>
  </si>
  <si>
    <t xml:space="preserve">Commitment discounts</t>
  </si>
  <si>
    <t xml:space="preserve">Term</t>
  </si>
  <si>
    <t xml:space="preserve">Discount applied to service fee</t>
  </si>
  <si>
    <t xml:space="preserve">Commercial intent</t>
  </si>
  <si>
    <t xml:space="preserve">3 months</t>
  </si>
  <si>
    <t xml:space="preserve">Minimum validation and launch term</t>
  </si>
  <si>
    <t xml:space="preserve">6 months</t>
  </si>
  <si>
    <t xml:space="preserve">Build, learn and optimise</t>
  </si>
  <si>
    <t xml:space="preserve">9 months</t>
  </si>
  <si>
    <t xml:space="preserve">Mature channel and content systems</t>
  </si>
  <si>
    <t xml:space="preserve">12 months</t>
  </si>
  <si>
    <t xml:space="preserve">Best value; compound SEO, CRM and creative learning</t>
  </si>
  <si>
    <t xml:space="preserve">Workbook contents</t>
  </si>
  <si>
    <t xml:space="preserve">Package Builder</t>
  </si>
  <si>
    <t xml:space="preserve">Select package and term; view monthly and contract totals.</t>
  </si>
  <si>
    <t xml:space="preserve">Scope Matrix</t>
  </si>
  <si>
    <t xml:space="preserve">Compare the included service level across all packages.</t>
  </si>
  <si>
    <t xml:space="preserve">Add-Ons</t>
  </si>
  <si>
    <t xml:space="preserve">Switch optional monthly and once-off items on or off.</t>
  </si>
  <si>
    <t xml:space="preserve">ROI Model</t>
  </si>
  <si>
    <t xml:space="preserve">Test break-even orders, leads and revenue scenarios using your economics.</t>
  </si>
  <si>
    <t xml:space="preserve">Commercial note: package prices are exclusive of VAT. The displayed media and software amounts are planning allowances. Platforms and third-party providers are normally billed at cost and may change their tariffs. Commitment discounts apply only to the service-delivery component, never to media, software, production disbursements or external specialists.</t>
  </si>
  <si>
    <t xml:space="preserve">PACKAGE BUILDER</t>
  </si>
  <si>
    <t xml:space="preserve">Choose a monthly package and commitment term; totals update automatically</t>
  </si>
  <si>
    <t xml:space="preserve">Client selections</t>
  </si>
  <si>
    <t xml:space="preserve">Selected package</t>
  </si>
  <si>
    <t xml:space="preserve">Commitment term (months)</t>
  </si>
  <si>
    <t xml:space="preserve">Include VAT in final cash requirement?</t>
  </si>
  <si>
    <t xml:space="preserve">Yes</t>
  </si>
  <si>
    <t xml:space="preserve">Calculated monthly budget</t>
  </si>
  <si>
    <t xml:space="preserve">List monthly budget</t>
  </si>
  <si>
    <t xml:space="preserve">Service delivery before discount</t>
  </si>
  <si>
    <t xml:space="preserve">Paid media allowance</t>
  </si>
  <si>
    <t xml:space="preserve">Software/tools allowance</t>
  </si>
  <si>
    <t xml:space="preserve">Commitment discount</t>
  </si>
  <si>
    <t xml:space="preserve">Discounted service fee</t>
  </si>
  <si>
    <t xml:space="preserve">Selected monthly add-ons</t>
  </si>
  <si>
    <t xml:space="preserve">Revised recurring monthly total ex VAT</t>
  </si>
  <si>
    <t xml:space="preserve">Contract value and cash requirement</t>
  </si>
  <si>
    <t xml:space="preserve">Recurring contract value ex VAT</t>
  </si>
  <si>
    <t xml:space="preserve">Selected once-off add-ons ex VAT</t>
  </si>
  <si>
    <t xml:space="preserve">Total contract value ex VAT</t>
  </si>
  <si>
    <t xml:space="preserve">VAT at 15%</t>
  </si>
  <si>
    <t xml:space="preserve">Cash requirement based on VAT selection</t>
  </si>
  <si>
    <t xml:space="preserve">Effective average per month</t>
  </si>
  <si>
    <t xml:space="preserve">12-month cash-flow view</t>
  </si>
  <si>
    <t xml:space="preserve">Month</t>
  </si>
  <si>
    <t xml:space="preserve">Active?</t>
  </si>
  <si>
    <t xml:space="preserve">Recurring ex VAT</t>
  </si>
  <si>
    <t xml:space="preserve">Once-off ex VAT</t>
  </si>
  <si>
    <t xml:space="preserve">VAT</t>
  </si>
  <si>
    <t xml:space="preserve">Cash requirement</t>
  </si>
  <si>
    <t xml:space="preserve">SCOPE MATRIX</t>
  </si>
  <si>
    <t xml:space="preserve">Indicative inclusions; final statement of work follows discovery and compliance review</t>
  </si>
  <si>
    <t xml:space="preserve">Workstream</t>
  </si>
  <si>
    <t xml:space="preserve">Strategy &amp; project leadership</t>
  </si>
  <si>
    <t xml:space="preserve">Monthly plan + one review</t>
  </si>
  <si>
    <t xml:space="preserve">Fortnightly sprint</t>
  </si>
  <si>
    <t xml:space="preserve">Weekly growth sprint</t>
  </si>
  <si>
    <t xml:space="preserve">Weekly cross-channel sprint</t>
  </si>
  <si>
    <t xml:space="preserve">Senior growth office + quarterly planning</t>
  </si>
  <si>
    <t xml:space="preserve">Brand identity &amp; logo</t>
  </si>
  <si>
    <t xml:space="preserve">Logo refinement + mini guide</t>
  </si>
  <si>
    <t xml:space="preserve">New/refined identity + guide</t>
  </si>
  <si>
    <t xml:space="preserve">Identity system + templates</t>
  </si>
  <si>
    <t xml:space="preserve">Full brand toolkit + campaign system</t>
  </si>
  <si>
    <t xml:space="preserve">Full identity governance + rollout</t>
  </si>
  <si>
    <t xml:space="preserve">Copywriting</t>
  </si>
  <si>
    <t xml:space="preserve">Core website copy</t>
  </si>
  <si>
    <t xml:space="preserve">Website + product/service copy</t>
  </si>
  <si>
    <t xml:space="preserve">Conversion copy + 2 articles/mo</t>
  </si>
  <si>
    <t xml:space="preserve">Conversion copy + 4 articles/mo</t>
  </si>
  <si>
    <t xml:space="preserve">Editorial programme + thought leadership</t>
  </si>
  <si>
    <t xml:space="preserve">Website &amp; online store</t>
  </si>
  <si>
    <t xml:space="preserve">Responsive site + starter store, up to 10 SKUs</t>
  </si>
  <si>
    <t xml:space="preserve">Store up to 25 SKUs + payment/shipping setup</t>
  </si>
  <si>
    <t xml:space="preserve">Store up to 50 SKUs + CRO landing pages</t>
  </si>
  <si>
    <t xml:space="preserve">Advanced store, bundles and subscriptions</t>
  </si>
  <si>
    <t xml:space="preserve">Custom commerce roadmap and ongoing CRO</t>
  </si>
  <si>
    <t xml:space="preserve">SEO</t>
  </si>
  <si>
    <t xml:space="preserve">Technical basics + local setup</t>
  </si>
  <si>
    <t xml:space="preserve">On-page SEO + keyword map</t>
  </si>
  <si>
    <t xml:space="preserve">Technical + content SEO monthly</t>
  </si>
  <si>
    <t xml:space="preserve">SEO content clusters + digital PR support</t>
  </si>
  <si>
    <t xml:space="preserve">Advanced SEO programme and authority building</t>
  </si>
  <si>
    <t xml:space="preserve">Social channels</t>
  </si>
  <si>
    <t xml:space="preserve">2 priority channels</t>
  </si>
  <si>
    <t xml:space="preserve">3 priority channels</t>
  </si>
  <si>
    <t xml:space="preserve">4 channels</t>
  </si>
  <si>
    <t xml:space="preserve">5 channels</t>
  </si>
  <si>
    <t xml:space="preserve">All relevant channels with repurposing</t>
  </si>
  <si>
    <t xml:space="preserve">Content cadence</t>
  </si>
  <si>
    <t xml:space="preserve">8 static/short-form items per month</t>
  </si>
  <si>
    <t xml:space="preserve">12 items + 2 short videos/mo</t>
  </si>
  <si>
    <t xml:space="preserve">16 items + 4 short videos/mo</t>
  </si>
  <si>
    <t xml:space="preserve">24 items + 8 short videos/mo</t>
  </si>
  <si>
    <t xml:space="preserve">30+ items + 12 short videos/mo</t>
  </si>
  <si>
    <t xml:space="preserve">Paid media</t>
  </si>
  <si>
    <t xml:space="preserve">One platform; R3,000 media allowance</t>
  </si>
  <si>
    <t xml:space="preserve">Meta/search mix; R7,500 allowance</t>
  </si>
  <si>
    <t xml:space="preserve">Multi-campaign; R14,000 allowance</t>
  </si>
  <si>
    <t xml:space="preserve">Multi-channel; R25,000 allowance</t>
  </si>
  <si>
    <t xml:space="preserve">Full-funnel tests; R35,000 allowance</t>
  </si>
  <si>
    <t xml:space="preserve">Chatbot &amp; lead capture</t>
  </si>
  <si>
    <t xml:space="preserve">FAQ bot + forms</t>
  </si>
  <si>
    <t xml:space="preserve">AI FAQ + lead qualification</t>
  </si>
  <si>
    <t xml:space="preserve">AI bot + human handoff + CRM</t>
  </si>
  <si>
    <t xml:space="preserve">Multi-channel bot + workflows</t>
  </si>
  <si>
    <t xml:space="preserve">Advanced knowledge base, QA and optimisation</t>
  </si>
  <si>
    <t xml:space="preserve">CRM, email &amp; WhatsApp</t>
  </si>
  <si>
    <t xml:space="preserve">Lead inbox and basic email</t>
  </si>
  <si>
    <t xml:space="preserve">CRM pipeline + welcome flow</t>
  </si>
  <si>
    <t xml:space="preserve">Segmentation + nurture automation</t>
  </si>
  <si>
    <t xml:space="preserve">Lifecycle automation + WhatsApp workflows</t>
  </si>
  <si>
    <t xml:space="preserve">Advanced CRM operations and attribution</t>
  </si>
  <si>
    <t xml:space="preserve">Analytics &amp; reporting</t>
  </si>
  <si>
    <t xml:space="preserve">Monthly scorecard</t>
  </si>
  <si>
    <t xml:space="preserve">Dashboard + monthly review</t>
  </si>
  <si>
    <t xml:space="preserve">Dashboard + funnel analysis</t>
  </si>
  <si>
    <t xml:space="preserve">Weekly optimisation + monthly board report</t>
  </si>
  <si>
    <t xml:space="preserve">Executive dashboard + experiments register</t>
  </si>
  <si>
    <t xml:space="preserve">Maintenance &amp; support</t>
  </si>
  <si>
    <t xml:space="preserve">Hosting oversight, backups, security, 2 hrs changes</t>
  </si>
  <si>
    <t xml:space="preserve">4 hrs changes + priority support</t>
  </si>
  <si>
    <t xml:space="preserve">8 hrs changes + performance monitoring</t>
  </si>
  <si>
    <t xml:space="preserve">12 hrs changes + priority SLA</t>
  </si>
  <si>
    <t xml:space="preserve">20 hrs changes + senior technical oversight</t>
  </si>
  <si>
    <t xml:space="preserve">All packages assume timely client access, approved product information, compliant claims, feedback within two business days, and one nominated decision-maker. Major custom development, high-volume product migration, legal opinions, creator fees, stock, courier charges and payment-gateway transaction fees are excluded unless expressly added.</t>
  </si>
  <si>
    <t xml:space="preserve">OPTIONAL ADD-ONS</t>
  </si>
  <si>
    <t xml:space="preserve">Select Yes in column F. Totals feed directly into Package Builder</t>
  </si>
  <si>
    <t xml:space="preserve">Add-on</t>
  </si>
  <si>
    <t xml:space="preserve">Billing</t>
  </si>
  <si>
    <t xml:space="preserve">Price ex VAT</t>
  </si>
  <si>
    <t xml:space="preserve">Scope note</t>
  </si>
  <si>
    <t xml:space="preserve">Selected?</t>
  </si>
  <si>
    <t xml:space="preserve">Selected value</t>
  </si>
  <si>
    <t xml:space="preserve">Additional paid media budget</t>
  </si>
  <si>
    <t xml:space="preserve">Monthly</t>
  </si>
  <si>
    <t xml:space="preserve">Media spend only; management fee may change at higher spend</t>
  </si>
  <si>
    <t xml:space="preserve">No</t>
  </si>
  <si>
    <t xml:space="preserve">Additional content pack: 4 posts</t>
  </si>
  <si>
    <t xml:space="preserve">Design, caption and scheduling</t>
  </si>
  <si>
    <t xml:space="preserve">Additional short-form video pack: 4</t>
  </si>
  <si>
    <t xml:space="preserve">Editing from supplied or planned footage; shoot costs separate</t>
  </si>
  <si>
    <t xml:space="preserve">Professional photo/video shoot day</t>
  </si>
  <si>
    <t xml:space="preserve">Once-off</t>
  </si>
  <si>
    <t xml:space="preserve">Crew and editing allowance; travel/location costs separate</t>
  </si>
  <si>
    <t xml:space="preserve">Influencer activation management</t>
  </si>
  <si>
    <t xml:space="preserve">Creator fees and product costs excluded</t>
  </si>
  <si>
    <t xml:space="preserve">SEO article pack: 2 researched articles</t>
  </si>
  <si>
    <t xml:space="preserve">Subject to medical/compliance review</t>
  </si>
  <si>
    <t xml:space="preserve">Additional landing page</t>
  </si>
  <si>
    <t xml:space="preserve">Design, copy and build</t>
  </si>
  <si>
    <t xml:space="preserve">Additional store products: 25 SKUs</t>
  </si>
  <si>
    <t xml:space="preserve">Client supplies approved data and imagery</t>
  </si>
  <si>
    <t xml:space="preserve">Advanced CRM automation workflow</t>
  </si>
  <si>
    <t xml:space="preserve">One scoped automation journey</t>
  </si>
  <si>
    <t xml:space="preserve">WhatsApp Business integration</t>
  </si>
  <si>
    <t xml:space="preserve">Provider fees and conversation charges excluded</t>
  </si>
  <si>
    <t xml:space="preserve">Custom API/integration sprint</t>
  </si>
  <si>
    <t xml:space="preserve">Final price after technical discovery</t>
  </si>
  <si>
    <t xml:space="preserve">Compliance/legal specialist review</t>
  </si>
  <si>
    <t xml:space="preserve">External specialist allowance; final quote may vary</t>
  </si>
  <si>
    <t xml:space="preserve">Monthly add-ons total</t>
  </si>
  <si>
    <t xml:space="preserve">Once-off add-ons total</t>
  </si>
  <si>
    <t xml:space="preserve">ROI &amp; BREAK-EVEN MODEL</t>
  </si>
  <si>
    <t xml:space="preserve">Illustrative commercial model. Replace yellow assumptions with NMS actuals before relying on outputs</t>
  </si>
  <si>
    <t xml:space="preserve">Business assumptions</t>
  </si>
  <si>
    <t xml:space="preserve">Average order / transaction value</t>
  </si>
  <si>
    <t xml:space="preserve">Gross margin after product/service delivery</t>
  </si>
  <si>
    <t xml:space="preserve">Website lead-to-sale conversion rate</t>
  </si>
  <si>
    <t xml:space="preserve">Average purchases per acquired customer in year 1</t>
  </si>
  <si>
    <t xml:space="preserve">Current monthly website sessions</t>
  </si>
  <si>
    <t xml:space="preserve">Current monthly qualified leads</t>
  </si>
  <si>
    <t xml:space="preserve">Current monthly new customers</t>
  </si>
  <si>
    <t xml:space="preserve">Selected package break-even</t>
  </si>
  <si>
    <t xml:space="preserve">Selected recurring monthly investment ex VAT</t>
  </si>
  <si>
    <t xml:space="preserve">Gross profit per first transaction</t>
  </si>
  <si>
    <t xml:space="preserve">Gross profit per acquired customer in year 1</t>
  </si>
  <si>
    <t xml:space="preserve">New customers needed per month: first-order break-even</t>
  </si>
  <si>
    <t xml:space="preserve">New customers needed per month: year-1 gross-profit break-even</t>
  </si>
  <si>
    <t xml:space="preserve">Qualified leads needed at entered close rate</t>
  </si>
  <si>
    <t xml:space="preserve">Required increase over current new customers</t>
  </si>
  <si>
    <t xml:space="preserve">Three planning scenarios</t>
  </si>
  <si>
    <t xml:space="preserve">Metric</t>
  </si>
  <si>
    <t xml:space="preserve">Conservative</t>
  </si>
  <si>
    <t xml:space="preserve">Base</t>
  </si>
  <si>
    <t xml:space="preserve">Upside</t>
  </si>
  <si>
    <t xml:space="preserve">Incremental qualified leads / month</t>
  </si>
  <si>
    <t xml:space="preserve">Lead-to-sale conversion</t>
  </si>
  <si>
    <t xml:space="preserve">New customers / month</t>
  </si>
  <si>
    <t xml:space="preserve">Year-1 attributable revenue</t>
  </si>
  <si>
    <t xml:space="preserve">Year-1 attributable gross profit</t>
  </si>
  <si>
    <t xml:space="preserve">12-month programme investment ex VAT</t>
  </si>
  <si>
    <t xml:space="preserve">Illustrative gross-profit ROI</t>
  </si>
  <si>
    <t xml:space="preserve">Interpretation: “attributable” means sales reasonably linked to tracked marketing journeys, not all company sales. Gross-profit ROI = (attributable gross profit − programme investment) ÷ programme investment. It excludes tax, working capital, inventory constraints, refunds and sales-team costs. Replace assumptions with verified NMS figures and agree an attribution window. No agency can responsibly guarantee these outcomes; this model shows what must be true for the investment to pay back.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</si>
</sst>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General"/>
    <numFmt numFmtId="167" formatCode="0.0%"/>
    <numFmt numFmtId="168" formatCode="0.00"/>
    <numFmt numFmtId="169" formatCode="#,##0"/>
    <numFmt numFmtId="170" formatCode="0.0"/>
    <numFmt numFmtId="171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ptos Display"/>
      <family val="0"/>
      <charset val="1"/>
    </font>
    <font>
      <i val="true"/>
      <sz val="10"/>
      <color rgb="FF27312D"/>
      <name val="Aptos"/>
      <family val="0"/>
      <charset val="1"/>
    </font>
    <font>
      <b val="true"/>
      <sz val="13"/>
      <color rgb="FFFFFFFF"/>
      <name val="Aptos Display"/>
      <family val="0"/>
      <charset val="1"/>
    </font>
    <font>
      <sz val="11"/>
      <color rgb="FF27312D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9"/>
      <color rgb="FF27312D"/>
      <name val="Aptos"/>
      <family val="0"/>
      <charset val="1"/>
    </font>
    <font>
      <b val="true"/>
      <u val="single"/>
      <sz val="10"/>
      <color rgb="FF244C3A"/>
      <name val="Aptos"/>
      <family val="0"/>
      <charset val="1"/>
    </font>
    <font>
      <i val="true"/>
      <sz val="9"/>
      <color rgb="FF68736D"/>
      <name val="Aptos"/>
      <family val="0"/>
      <charset val="1"/>
    </font>
    <font>
      <b val="true"/>
      <sz val="10"/>
      <color rgb="FF27312D"/>
      <name val="Aptos"/>
      <family val="0"/>
      <charset val="1"/>
    </font>
    <font>
      <b val="true"/>
      <sz val="12"/>
      <color rgb="FFFFFFFF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44C3A"/>
        <bgColor rgb="FF173528"/>
      </patternFill>
    </fill>
    <fill>
      <patternFill patternType="solid">
        <fgColor rgb="FFF6F2E8"/>
        <bgColor rgb="FFF9F9F9"/>
      </patternFill>
    </fill>
    <fill>
      <patternFill patternType="solid">
        <fgColor rgb="FFF3E8CE"/>
        <bgColor rgb="FFF6F2E8"/>
      </patternFill>
    </fill>
    <fill>
      <patternFill patternType="solid">
        <fgColor rgb="FF173528"/>
        <bgColor rgb="FF27312D"/>
      </patternFill>
    </fill>
    <fill>
      <patternFill patternType="solid">
        <fgColor rgb="FFE5EFE9"/>
        <bgColor rgb="FFF6F2E8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44C3A"/>
      </bottom>
      <diagonal/>
    </border>
    <border diagonalUp="false" diagonalDown="false">
      <left/>
      <right/>
      <top/>
      <bottom style="thin">
        <color rgb="FFC9D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3" fillId="2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4" fillId="2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9" fillId="4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9" fillId="4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9" fillId="4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9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9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9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73528"/>
          <bgColor rgb="FF000000"/>
        </patternFill>
      </fill>
    </dxf>
    <dxf>
      <fill>
        <patternFill patternType="solid">
          <fgColor rgb="FF244C3A"/>
          <bgColor rgb="FF000000"/>
        </patternFill>
      </fill>
    </dxf>
    <dxf>
      <fill>
        <patternFill patternType="solid">
          <fgColor rgb="FFE5EFE9"/>
          <bgColor rgb="FF000000"/>
        </patternFill>
      </fill>
    </dxf>
    <dxf>
      <fill>
        <patternFill patternType="solid">
          <fgColor rgb="FFF6F2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7312D"/>
          <bgColor rgb="FF000000"/>
        </patternFill>
      </fill>
    </dxf>
    <dxf>
      <fill>
        <patternFill patternType="solid">
          <fgColor rgb="FF68736D"/>
          <bgColor rgb="FF000000"/>
        </patternFill>
      </fill>
    </dxf>
    <dxf>
      <fill>
        <patternFill patternType="solid">
          <fgColor rgb="FFF3E8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0CC"/>
      <rgbColor rgb="FF878787"/>
      <rgbColor rgb="FF9999FF"/>
      <rgbColor rgb="FFC0504D"/>
      <rgbColor rgb="FFF6F2E8"/>
      <rgbColor rgb="FFE5EF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3E8CE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8736D"/>
      <rgbColor rgb="FF969696"/>
      <rgbColor rgb="FF003366"/>
      <rgbColor rgb="FF339966"/>
      <rgbColor rgb="FF173528"/>
      <rgbColor rgb="FF244C3A"/>
      <rgbColor rgb="FF993300"/>
      <rgbColor rgb="FF993366"/>
      <rgbColor rgb="FF333399"/>
      <rgbColor rgb="FF2731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Year-1 Attributable Gross Profit vs Programme Investment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'ROI Model'!B31</c:f>
              <c:strCache>
                <c:ptCount val="1"/>
                <c:pt idx="0">
                  <c:v>Year-1 attributable gross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Model'!$C$26:$E$26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'ROI Model'!$C$31:$E$31</c:f>
              <c:numCache>
                <c:formatCode>General</c:formatCode>
                <c:ptCount val="3"/>
                <c:pt idx="0">
                  <c:v>36867.6</c:v>
                </c:pt>
                <c:pt idx="1">
                  <c:v>105336</c:v>
                </c:pt>
                <c:pt idx="2">
                  <c:v>251050.8</c:v>
                </c:pt>
              </c:numCache>
            </c:numRef>
          </c:val>
        </c:ser>
        <c:ser>
          <c:idx val="1"/>
          <c:order val="1"/>
          <c:tx>
            <c:strRef>
              <c:f>'ROI Model'!B32</c:f>
              <c:strCache>
                <c:ptCount val="1"/>
                <c:pt idx="0">
                  <c:v>12-month programme investment ex VAT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Model'!$C$26:$E$26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'ROI Model'!$C$32:$E$32</c:f>
              <c:numCache>
                <c:formatCode>General</c:formatCode>
                <c:ptCount val="3"/>
                <c:pt idx="0">
                  <c:v>580500</c:v>
                </c:pt>
                <c:pt idx="1">
                  <c:v>580500</c:v>
                </c:pt>
                <c:pt idx="2">
                  <c:v>580500</c:v>
                </c:pt>
              </c:numCache>
            </c:numRef>
          </c:val>
        </c:ser>
        <c:gapWidth val="150"/>
        <c:overlap val="0"/>
        <c:axId val="8965482"/>
        <c:axId val="67363660"/>
      </c:barChart>
      <c:catAx>
        <c:axId val="89654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63660"/>
        <c:crosses val="autoZero"/>
        <c:auto val="1"/>
        <c:lblAlgn val="ctr"/>
        <c:lblOffset val="100"/>
        <c:noMultiLvlLbl val="0"/>
      </c:catAx>
      <c:valAx>
        <c:axId val="673636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5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24</xdr:row>
      <xdr:rowOff>0</xdr:rowOff>
    </xdr:from>
    <xdr:to>
      <xdr:col>10</xdr:col>
      <xdr:colOff>599040</xdr:colOff>
      <xdr:row>37</xdr:row>
      <xdr:rowOff>108720</xdr:rowOff>
    </xdr:to>
    <xdr:graphicFrame>
      <xdr:nvGraphicFramePr>
        <xdr:cNvPr id="0" name="Chart 1"/>
        <xdr:cNvGraphicFramePr/>
      </xdr:nvGraphicFramePr>
      <xdr:xfrm>
        <a:off x="8641080" y="5200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final/NMS_Budget_and_ROI_Selector.xlsx" TargetMode="External"/><Relationship Id="rId2" Type="http://schemas.openxmlformats.org/officeDocument/2006/relationships/hyperlink" Target="../final/NMS_Budget_and_ROI_Selector.xlsx" TargetMode="External"/><Relationship Id="rId3" Type="http://schemas.openxmlformats.org/officeDocument/2006/relationships/hyperlink" Target="../final/NMS_Budget_and_ROI_Selector.xlsx" TargetMode="External"/><Relationship Id="rId4" Type="http://schemas.openxmlformats.org/officeDocument/2006/relationships/hyperlink" Target="../final/NMS_Budget_and_ROI_Selector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6" min="3" style="0" width="17"/>
    <col collapsed="false" customWidth="true" hidden="false" outlineLevel="0" max="7" min="7" style="0" width="43"/>
    <col collapsed="false" customWidth="true" hidden="false" outlineLevel="0" max="10" min="8" style="0" width="12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27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24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  <c r="I8" s="4"/>
      <c r="J8" s="4"/>
    </row>
    <row r="10" customFormat="false" ht="24" hidden="false" customHeight="true" outlineLevel="0" collapsed="false">
      <c r="B10" s="3" t="s">
        <v>4</v>
      </c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  <c r="G11" s="5" t="s">
        <v>10</v>
      </c>
      <c r="H11" s="5"/>
    </row>
    <row r="12" customFormat="false" ht="33.75" hidden="false" customHeight="true" outlineLevel="0" collapsed="false">
      <c r="B12" s="6" t="s">
        <v>11</v>
      </c>
      <c r="C12" s="7" t="n">
        <v>20000</v>
      </c>
      <c r="D12" s="7" t="n">
        <v>14500</v>
      </c>
      <c r="E12" s="7" t="n">
        <v>3000</v>
      </c>
      <c r="F12" s="7" t="n">
        <v>2500</v>
      </c>
      <c r="G12" s="6" t="s">
        <v>12</v>
      </c>
    </row>
    <row r="13" customFormat="false" ht="33.75" hidden="false" customHeight="true" outlineLevel="0" collapsed="false">
      <c r="B13" s="8" t="s">
        <v>13</v>
      </c>
      <c r="C13" s="9" t="n">
        <v>35000</v>
      </c>
      <c r="D13" s="9" t="n">
        <v>24500</v>
      </c>
      <c r="E13" s="9" t="n">
        <v>7500</v>
      </c>
      <c r="F13" s="9" t="n">
        <v>3000</v>
      </c>
      <c r="G13" s="8" t="s">
        <v>14</v>
      </c>
    </row>
    <row r="14" customFormat="false" ht="33.75" hidden="false" customHeight="true" outlineLevel="0" collapsed="false">
      <c r="B14" s="6" t="s">
        <v>15</v>
      </c>
      <c r="C14" s="7" t="n">
        <v>50000</v>
      </c>
      <c r="D14" s="7" t="n">
        <v>32500</v>
      </c>
      <c r="E14" s="7" t="n">
        <v>14000</v>
      </c>
      <c r="F14" s="7" t="n">
        <v>3500</v>
      </c>
      <c r="G14" s="6" t="s">
        <v>16</v>
      </c>
    </row>
    <row r="15" customFormat="false" ht="33.75" hidden="false" customHeight="true" outlineLevel="0" collapsed="false">
      <c r="B15" s="8" t="s">
        <v>17</v>
      </c>
      <c r="C15" s="9" t="n">
        <v>75000</v>
      </c>
      <c r="D15" s="9" t="n">
        <v>45000</v>
      </c>
      <c r="E15" s="9" t="n">
        <v>25000</v>
      </c>
      <c r="F15" s="9" t="n">
        <v>5000</v>
      </c>
      <c r="G15" s="8" t="s">
        <v>18</v>
      </c>
    </row>
    <row r="16" customFormat="false" ht="33.75" hidden="false" customHeight="true" outlineLevel="0" collapsed="false">
      <c r="B16" s="6" t="s">
        <v>19</v>
      </c>
      <c r="C16" s="7" t="n">
        <v>100000</v>
      </c>
      <c r="D16" s="7" t="n">
        <v>57500</v>
      </c>
      <c r="E16" s="7" t="n">
        <v>35000</v>
      </c>
      <c r="F16" s="7" t="n">
        <v>7500</v>
      </c>
      <c r="G16" s="6" t="s">
        <v>20</v>
      </c>
    </row>
    <row r="19" customFormat="false" ht="24" hidden="false" customHeight="true" outlineLevel="0" collapsed="false">
      <c r="B19" s="3" t="s">
        <v>21</v>
      </c>
      <c r="C19" s="3"/>
      <c r="D19" s="3"/>
      <c r="E19" s="3"/>
      <c r="F19" s="3"/>
      <c r="G19" s="3"/>
      <c r="H19" s="3"/>
      <c r="I19" s="3"/>
      <c r="J19" s="3"/>
    </row>
    <row r="20" customFormat="false" ht="28.35" hidden="false" customHeight="false" outlineLevel="0" collapsed="false">
      <c r="B20" s="5" t="s">
        <v>22</v>
      </c>
      <c r="C20" s="5" t="s">
        <v>23</v>
      </c>
      <c r="D20" s="5" t="s">
        <v>24</v>
      </c>
      <c r="E20" s="5"/>
    </row>
    <row r="21" customFormat="false" ht="26.85" hidden="false" customHeight="false" outlineLevel="0" collapsed="false">
      <c r="B21" s="6" t="s">
        <v>25</v>
      </c>
      <c r="C21" s="10" t="n">
        <v>0</v>
      </c>
      <c r="D21" s="6" t="s">
        <v>26</v>
      </c>
    </row>
    <row r="22" customFormat="false" ht="26.85" hidden="false" customHeight="false" outlineLevel="0" collapsed="false">
      <c r="B22" s="8" t="s">
        <v>27</v>
      </c>
      <c r="C22" s="11" t="n">
        <v>0.05</v>
      </c>
      <c r="D22" s="8" t="s">
        <v>28</v>
      </c>
    </row>
    <row r="23" customFormat="false" ht="26.85" hidden="false" customHeight="false" outlineLevel="0" collapsed="false">
      <c r="B23" s="6" t="s">
        <v>29</v>
      </c>
      <c r="C23" s="10" t="n">
        <v>0.08</v>
      </c>
      <c r="D23" s="6" t="s">
        <v>30</v>
      </c>
    </row>
    <row r="24" customFormat="false" ht="39.55" hidden="false" customHeight="false" outlineLevel="0" collapsed="false">
      <c r="B24" s="8" t="s">
        <v>31</v>
      </c>
      <c r="C24" s="11" t="n">
        <v>0.12</v>
      </c>
      <c r="D24" s="8" t="s">
        <v>32</v>
      </c>
    </row>
    <row r="27" customFormat="false" ht="24" hidden="false" customHeight="true" outlineLevel="0" collapsed="false">
      <c r="B27" s="3" t="s">
        <v>33</v>
      </c>
      <c r="C27" s="3"/>
      <c r="D27" s="3"/>
      <c r="E27" s="3"/>
      <c r="F27" s="3"/>
      <c r="G27" s="3"/>
      <c r="H27" s="3"/>
      <c r="I27" s="3"/>
      <c r="J27" s="3"/>
    </row>
    <row r="28" customFormat="false" ht="39.55" hidden="false" customHeight="false" outlineLevel="0" collapsed="false">
      <c r="B28" s="12" t="s">
        <v>34</v>
      </c>
      <c r="C28" s="13" t="s">
        <v>35</v>
      </c>
    </row>
    <row r="29" customFormat="false" ht="39.55" hidden="false" customHeight="false" outlineLevel="0" collapsed="false">
      <c r="B29" s="12" t="s">
        <v>36</v>
      </c>
      <c r="C29" s="13" t="s">
        <v>37</v>
      </c>
    </row>
    <row r="30" customFormat="false" ht="39.55" hidden="false" customHeight="false" outlineLevel="0" collapsed="false">
      <c r="B30" s="12" t="s">
        <v>38</v>
      </c>
      <c r="C30" s="13" t="s">
        <v>39</v>
      </c>
    </row>
    <row r="31" customFormat="false" ht="52.2" hidden="false" customHeight="false" outlineLevel="0" collapsed="false">
      <c r="B31" s="12" t="s">
        <v>40</v>
      </c>
      <c r="C31" s="13" t="s">
        <v>41</v>
      </c>
    </row>
    <row r="34" customFormat="false" ht="15" hidden="false" customHeight="true" outlineLevel="0" collapsed="false">
      <c r="B34" s="14" t="s">
        <v>42</v>
      </c>
      <c r="C34" s="14"/>
      <c r="D34" s="14"/>
      <c r="E34" s="14"/>
      <c r="F34" s="14"/>
      <c r="G34" s="14"/>
      <c r="H34" s="14"/>
      <c r="I34" s="14"/>
      <c r="J34" s="14"/>
    </row>
    <row r="35" customFormat="false" ht="15" hidden="false" customHeight="false" outlineLevel="0" collapsed="false">
      <c r="B35" s="14"/>
      <c r="C35" s="14"/>
      <c r="D35" s="14"/>
      <c r="E35" s="14"/>
      <c r="F35" s="14"/>
      <c r="G35" s="14"/>
      <c r="H35" s="14"/>
      <c r="I35" s="14"/>
      <c r="J35" s="14"/>
    </row>
    <row r="36" customFormat="false" ht="15" hidden="false" customHeight="false" outlineLevel="0" collapsed="false">
      <c r="B36" s="14"/>
      <c r="C36" s="14"/>
      <c r="D36" s="14"/>
      <c r="E36" s="14"/>
      <c r="F36" s="14"/>
      <c r="G36" s="14"/>
      <c r="H36" s="14"/>
      <c r="I36" s="14"/>
      <c r="J36" s="14"/>
    </row>
  </sheetData>
  <mergeCells count="8">
    <mergeCell ref="B2:J2"/>
    <mergeCell ref="B3:J3"/>
    <mergeCell ref="B5:J5"/>
    <mergeCell ref="B6:J8"/>
    <mergeCell ref="B10:J10"/>
    <mergeCell ref="B19:J19"/>
    <mergeCell ref="B27:J27"/>
    <mergeCell ref="B34:J36"/>
  </mergeCells>
  <hyperlinks>
    <hyperlink ref="B28" r:id="rId1" location="'Package%20Builder'!B2" display="Package Builder"/>
    <hyperlink ref="B29" r:id="rId2" location="'Scope%20Matrix'!B2" display="Scope Matrix"/>
    <hyperlink ref="B30" r:id="rId3" location="'Add-Ons'!B2" display="Add-Ons"/>
    <hyperlink ref="B31" r:id="rId4" location="'ROI%20Model'!B2" display="ROI Model"/>
  </hyperlink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9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10" min="8" style="0" width="12"/>
  </cols>
  <sheetData>
    <row r="2" customFormat="false" ht="33.75" hidden="false" customHeight="true" outlineLevel="0" collapsed="false">
      <c r="B2" s="1" t="s">
        <v>43</v>
      </c>
      <c r="C2" s="1"/>
      <c r="D2" s="1"/>
      <c r="E2" s="1"/>
      <c r="F2" s="1"/>
      <c r="G2" s="1"/>
      <c r="H2" s="1"/>
      <c r="I2" s="1"/>
      <c r="J2" s="1"/>
    </row>
    <row r="3" customFormat="false" ht="27.75" hidden="false" customHeight="true" outlineLevel="0" collapsed="false">
      <c r="B3" s="2" t="s">
        <v>44</v>
      </c>
      <c r="C3" s="2"/>
      <c r="D3" s="2"/>
      <c r="E3" s="2"/>
      <c r="F3" s="2"/>
      <c r="G3" s="2"/>
      <c r="H3" s="2"/>
      <c r="I3" s="2"/>
      <c r="J3" s="2"/>
    </row>
    <row r="5" customFormat="false" ht="24" hidden="false" customHeight="true" outlineLevel="0" collapsed="false">
      <c r="B5" s="3" t="s">
        <v>45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B6" s="6" t="s">
        <v>46</v>
      </c>
      <c r="C6" s="15" t="s">
        <v>15</v>
      </c>
    </row>
    <row r="7" customFormat="false" ht="15" hidden="false" customHeight="false" outlineLevel="0" collapsed="false">
      <c r="B7" s="6" t="s">
        <v>47</v>
      </c>
      <c r="C7" s="15" t="n">
        <v>6</v>
      </c>
    </row>
    <row r="8" customFormat="false" ht="15" hidden="false" customHeight="false" outlineLevel="0" collapsed="false">
      <c r="B8" s="6" t="s">
        <v>48</v>
      </c>
      <c r="C8" s="15" t="s">
        <v>49</v>
      </c>
    </row>
    <row r="11" customFormat="false" ht="24" hidden="false" customHeight="true" outlineLevel="0" collapsed="false">
      <c r="B11" s="3" t="s">
        <v>50</v>
      </c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false" outlineLevel="0" collapsed="false">
      <c r="B12" s="6" t="s">
        <v>51</v>
      </c>
      <c r="C12" s="9" t="n">
        <f aca="false">INDEX(Overview!$C$12:$C$16,MATCH($C$6,Overview!$B$12:$B$16,0))</f>
        <v>50000</v>
      </c>
    </row>
    <row r="13" customFormat="false" ht="15" hidden="false" customHeight="false" outlineLevel="0" collapsed="false">
      <c r="B13" s="8" t="s">
        <v>52</v>
      </c>
      <c r="C13" s="9" t="n">
        <f aca="false">INDEX(Overview!$D$12:$D$16,MATCH($C$6,Overview!$B$12:$B$16,0))</f>
        <v>32500</v>
      </c>
    </row>
    <row r="14" customFormat="false" ht="15" hidden="false" customHeight="false" outlineLevel="0" collapsed="false">
      <c r="B14" s="6" t="s">
        <v>53</v>
      </c>
      <c r="C14" s="9" t="n">
        <f aca="false">INDEX(Overview!$E$12:$E$16,MATCH($C$6,Overview!$B$12:$B$16,0))</f>
        <v>14000</v>
      </c>
    </row>
    <row r="15" customFormat="false" ht="15" hidden="false" customHeight="false" outlineLevel="0" collapsed="false">
      <c r="B15" s="8" t="s">
        <v>54</v>
      </c>
      <c r="C15" s="9" t="n">
        <f aca="false">INDEX(Overview!$F$12:$F$16,MATCH($C$6,Overview!$B$12:$B$16,0))</f>
        <v>3500</v>
      </c>
    </row>
    <row r="16" customFormat="false" ht="15" hidden="false" customHeight="false" outlineLevel="0" collapsed="false">
      <c r="B16" s="6" t="s">
        <v>55</v>
      </c>
      <c r="C16" s="16" t="n">
        <f aca="false">IF(C7=3,0,IF(C7=6,5%,IF(C7=9,8%,12%)))</f>
        <v>0.05</v>
      </c>
    </row>
    <row r="17" customFormat="false" ht="15" hidden="false" customHeight="false" outlineLevel="0" collapsed="false">
      <c r="B17" s="8" t="s">
        <v>56</v>
      </c>
      <c r="C17" s="7" t="n">
        <f aca="false">C13*(1-C16)</f>
        <v>30875</v>
      </c>
    </row>
    <row r="18" customFormat="false" ht="15" hidden="false" customHeight="false" outlineLevel="0" collapsed="false">
      <c r="B18" s="6" t="s">
        <v>57</v>
      </c>
      <c r="C18" s="7" t="n">
        <f aca="false">'Add-Ons'!G18</f>
        <v>0</v>
      </c>
    </row>
    <row r="19" customFormat="false" ht="17.9" hidden="false" customHeight="false" outlineLevel="0" collapsed="false">
      <c r="B19" s="17" t="s">
        <v>58</v>
      </c>
      <c r="C19" s="18" t="n">
        <f aca="false">C17+C14+C15+C18</f>
        <v>48375</v>
      </c>
    </row>
    <row r="22" customFormat="false" ht="24" hidden="false" customHeight="true" outlineLevel="0" collapsed="false">
      <c r="B22" s="3" t="s">
        <v>59</v>
      </c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false" outlineLevel="0" collapsed="false">
      <c r="B23" s="6" t="s">
        <v>60</v>
      </c>
      <c r="C23" s="9" t="n">
        <f aca="false">C19*C7</f>
        <v>290250</v>
      </c>
    </row>
    <row r="24" customFormat="false" ht="15" hidden="false" customHeight="false" outlineLevel="0" collapsed="false">
      <c r="B24" s="8" t="s">
        <v>61</v>
      </c>
      <c r="C24" s="9" t="n">
        <f aca="false">'Add-Ons'!G19</f>
        <v>0</v>
      </c>
    </row>
    <row r="25" customFormat="false" ht="15" hidden="false" customHeight="false" outlineLevel="0" collapsed="false">
      <c r="B25" s="6" t="s">
        <v>62</v>
      </c>
      <c r="C25" s="7" t="n">
        <f aca="false">C23+C24</f>
        <v>290250</v>
      </c>
    </row>
    <row r="26" customFormat="false" ht="15" hidden="false" customHeight="false" outlineLevel="0" collapsed="false">
      <c r="B26" s="8" t="s">
        <v>63</v>
      </c>
      <c r="C26" s="9" t="n">
        <f aca="false">C25*15%</f>
        <v>43537.5</v>
      </c>
    </row>
    <row r="27" customFormat="false" ht="31.3" hidden="false" customHeight="false" outlineLevel="0" collapsed="false">
      <c r="B27" s="19" t="s">
        <v>64</v>
      </c>
      <c r="C27" s="20" t="n">
        <f aca="false">IF(C8="Yes",C25+C26,C25)</f>
        <v>333787.5</v>
      </c>
    </row>
    <row r="28" customFormat="false" ht="15" hidden="false" customHeight="false" outlineLevel="0" collapsed="false">
      <c r="B28" s="8" t="s">
        <v>65</v>
      </c>
      <c r="C28" s="7" t="n">
        <f aca="false">C27/C7</f>
        <v>55631.25</v>
      </c>
    </row>
    <row r="31" customFormat="false" ht="24" hidden="false" customHeight="true" outlineLevel="0" collapsed="false">
      <c r="B31" s="3" t="s">
        <v>66</v>
      </c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false" outlineLevel="0" collapsed="false">
      <c r="B32" s="5" t="s">
        <v>67</v>
      </c>
      <c r="C32" s="5" t="s">
        <v>68</v>
      </c>
      <c r="D32" s="5" t="s">
        <v>69</v>
      </c>
      <c r="E32" s="5" t="s">
        <v>70</v>
      </c>
      <c r="F32" s="5" t="s">
        <v>71</v>
      </c>
      <c r="G32" s="5" t="s">
        <v>72</v>
      </c>
      <c r="H32" s="5"/>
    </row>
    <row r="33" customFormat="false" ht="15" hidden="false" customHeight="false" outlineLevel="0" collapsed="false">
      <c r="B33" s="21" t="n">
        <v>1</v>
      </c>
      <c r="C33" s="21" t="str">
        <f aca="false">IF(B33&lt;=$C$7,"Yes","No")</f>
        <v>Yes</v>
      </c>
      <c r="D33" s="7" t="n">
        <f aca="false">IF(C33="Yes",$C$19,0)</f>
        <v>48375</v>
      </c>
      <c r="E33" s="7" t="n">
        <f aca="false">IF(B33=1,$C$24,0)</f>
        <v>0</v>
      </c>
      <c r="F33" s="7" t="n">
        <f aca="false">IF($C$8="Yes",(D33+E33)*15%,0)</f>
        <v>7256.25</v>
      </c>
      <c r="G33" s="7" t="n">
        <f aca="false">D33+E33+F33</f>
        <v>55631.25</v>
      </c>
    </row>
    <row r="34" customFormat="false" ht="15" hidden="false" customHeight="false" outlineLevel="0" collapsed="false">
      <c r="B34" s="22" t="n">
        <v>2</v>
      </c>
      <c r="C34" s="22" t="str">
        <f aca="false">IF(B34&lt;=$C$7,"Yes","No")</f>
        <v>Yes</v>
      </c>
      <c r="D34" s="9" t="n">
        <f aca="false">IF(C34="Yes",$C$19,0)</f>
        <v>48375</v>
      </c>
      <c r="E34" s="9" t="n">
        <f aca="false">IF(B34=1,$C$24,0)</f>
        <v>0</v>
      </c>
      <c r="F34" s="9" t="n">
        <f aca="false">IF($C$8="Yes",(D34+E34)*15%,0)</f>
        <v>7256.25</v>
      </c>
      <c r="G34" s="9" t="n">
        <f aca="false">D34+E34+F34</f>
        <v>55631.25</v>
      </c>
    </row>
    <row r="35" customFormat="false" ht="15" hidden="false" customHeight="false" outlineLevel="0" collapsed="false">
      <c r="B35" s="21" t="n">
        <v>3</v>
      </c>
      <c r="C35" s="21" t="str">
        <f aca="false">IF(B35&lt;=$C$7,"Yes","No")</f>
        <v>Yes</v>
      </c>
      <c r="D35" s="7" t="n">
        <f aca="false">IF(C35="Yes",$C$19,0)</f>
        <v>48375</v>
      </c>
      <c r="E35" s="7" t="n">
        <f aca="false">IF(B35=1,$C$24,0)</f>
        <v>0</v>
      </c>
      <c r="F35" s="7" t="n">
        <f aca="false">IF($C$8="Yes",(D35+E35)*15%,0)</f>
        <v>7256.25</v>
      </c>
      <c r="G35" s="7" t="n">
        <f aca="false">D35+E35+F35</f>
        <v>55631.25</v>
      </c>
    </row>
    <row r="36" customFormat="false" ht="15" hidden="false" customHeight="false" outlineLevel="0" collapsed="false">
      <c r="B36" s="22" t="n">
        <v>4</v>
      </c>
      <c r="C36" s="22" t="str">
        <f aca="false">IF(B36&lt;=$C$7,"Yes","No")</f>
        <v>Yes</v>
      </c>
      <c r="D36" s="9" t="n">
        <f aca="false">IF(C36="Yes",$C$19,0)</f>
        <v>48375</v>
      </c>
      <c r="E36" s="9" t="n">
        <f aca="false">IF(B36=1,$C$24,0)</f>
        <v>0</v>
      </c>
      <c r="F36" s="9" t="n">
        <f aca="false">IF($C$8="Yes",(D36+E36)*15%,0)</f>
        <v>7256.25</v>
      </c>
      <c r="G36" s="9" t="n">
        <f aca="false">D36+E36+F36</f>
        <v>55631.25</v>
      </c>
    </row>
    <row r="37" customFormat="false" ht="15" hidden="false" customHeight="false" outlineLevel="0" collapsed="false">
      <c r="B37" s="21" t="n">
        <v>5</v>
      </c>
      <c r="C37" s="21" t="str">
        <f aca="false">IF(B37&lt;=$C$7,"Yes","No")</f>
        <v>Yes</v>
      </c>
      <c r="D37" s="7" t="n">
        <f aca="false">IF(C37="Yes",$C$19,0)</f>
        <v>48375</v>
      </c>
      <c r="E37" s="7" t="n">
        <f aca="false">IF(B37=1,$C$24,0)</f>
        <v>0</v>
      </c>
      <c r="F37" s="7" t="n">
        <f aca="false">IF($C$8="Yes",(D37+E37)*15%,0)</f>
        <v>7256.25</v>
      </c>
      <c r="G37" s="7" t="n">
        <f aca="false">D37+E37+F37</f>
        <v>55631.25</v>
      </c>
    </row>
    <row r="38" customFormat="false" ht="15" hidden="false" customHeight="false" outlineLevel="0" collapsed="false">
      <c r="B38" s="22" t="n">
        <v>6</v>
      </c>
      <c r="C38" s="22" t="str">
        <f aca="false">IF(B38&lt;=$C$7,"Yes","No")</f>
        <v>Yes</v>
      </c>
      <c r="D38" s="9" t="n">
        <f aca="false">IF(C38="Yes",$C$19,0)</f>
        <v>48375</v>
      </c>
      <c r="E38" s="9" t="n">
        <f aca="false">IF(B38=1,$C$24,0)</f>
        <v>0</v>
      </c>
      <c r="F38" s="9" t="n">
        <f aca="false">IF($C$8="Yes",(D38+E38)*15%,0)</f>
        <v>7256.25</v>
      </c>
      <c r="G38" s="9" t="n">
        <f aca="false">D38+E38+F38</f>
        <v>55631.25</v>
      </c>
    </row>
    <row r="39" customFormat="false" ht="15" hidden="false" customHeight="false" outlineLevel="0" collapsed="false">
      <c r="B39" s="21" t="n">
        <v>7</v>
      </c>
      <c r="C39" s="21" t="str">
        <f aca="false">IF(B39&lt;=$C$7,"Yes","No")</f>
        <v>No</v>
      </c>
      <c r="D39" s="7" t="n">
        <f aca="false">IF(C39="Yes",$C$19,0)</f>
        <v>0</v>
      </c>
      <c r="E39" s="7" t="n">
        <f aca="false">IF(B39=1,$C$24,0)</f>
        <v>0</v>
      </c>
      <c r="F39" s="7" t="n">
        <f aca="false">IF($C$8="Yes",(D39+E39)*15%,0)</f>
        <v>0</v>
      </c>
      <c r="G39" s="7" t="n">
        <f aca="false">D39+E39+F39</f>
        <v>0</v>
      </c>
    </row>
    <row r="40" customFormat="false" ht="15" hidden="false" customHeight="false" outlineLevel="0" collapsed="false">
      <c r="B40" s="22" t="n">
        <v>8</v>
      </c>
      <c r="C40" s="22" t="str">
        <f aca="false">IF(B40&lt;=$C$7,"Yes","No")</f>
        <v>No</v>
      </c>
      <c r="D40" s="9" t="n">
        <f aca="false">IF(C40="Yes",$C$19,0)</f>
        <v>0</v>
      </c>
      <c r="E40" s="9" t="n">
        <f aca="false">IF(B40=1,$C$24,0)</f>
        <v>0</v>
      </c>
      <c r="F40" s="9" t="n">
        <f aca="false">IF($C$8="Yes",(D40+E40)*15%,0)</f>
        <v>0</v>
      </c>
      <c r="G40" s="9" t="n">
        <f aca="false">D40+E40+F40</f>
        <v>0</v>
      </c>
    </row>
    <row r="41" customFormat="false" ht="15" hidden="false" customHeight="false" outlineLevel="0" collapsed="false">
      <c r="B41" s="21" t="n">
        <v>9</v>
      </c>
      <c r="C41" s="21" t="str">
        <f aca="false">IF(B41&lt;=$C$7,"Yes","No")</f>
        <v>No</v>
      </c>
      <c r="D41" s="7" t="n">
        <f aca="false">IF(C41="Yes",$C$19,0)</f>
        <v>0</v>
      </c>
      <c r="E41" s="7" t="n">
        <f aca="false">IF(B41=1,$C$24,0)</f>
        <v>0</v>
      </c>
      <c r="F41" s="7" t="n">
        <f aca="false">IF($C$8="Yes",(D41+E41)*15%,0)</f>
        <v>0</v>
      </c>
      <c r="G41" s="7" t="n">
        <f aca="false">D41+E41+F41</f>
        <v>0</v>
      </c>
    </row>
    <row r="42" customFormat="false" ht="15" hidden="false" customHeight="false" outlineLevel="0" collapsed="false">
      <c r="B42" s="22" t="n">
        <v>10</v>
      </c>
      <c r="C42" s="22" t="str">
        <f aca="false">IF(B42&lt;=$C$7,"Yes","No")</f>
        <v>No</v>
      </c>
      <c r="D42" s="9" t="n">
        <f aca="false">IF(C42="Yes",$C$19,0)</f>
        <v>0</v>
      </c>
      <c r="E42" s="9" t="n">
        <f aca="false">IF(B42=1,$C$24,0)</f>
        <v>0</v>
      </c>
      <c r="F42" s="9" t="n">
        <f aca="false">IF($C$8="Yes",(D42+E42)*15%,0)</f>
        <v>0</v>
      </c>
      <c r="G42" s="9" t="n">
        <f aca="false">D42+E42+F42</f>
        <v>0</v>
      </c>
    </row>
    <row r="43" customFormat="false" ht="15" hidden="false" customHeight="false" outlineLevel="0" collapsed="false">
      <c r="B43" s="21" t="n">
        <v>11</v>
      </c>
      <c r="C43" s="21" t="str">
        <f aca="false">IF(B43&lt;=$C$7,"Yes","No")</f>
        <v>No</v>
      </c>
      <c r="D43" s="7" t="n">
        <f aca="false">IF(C43="Yes",$C$19,0)</f>
        <v>0</v>
      </c>
      <c r="E43" s="7" t="n">
        <f aca="false">IF(B43=1,$C$24,0)</f>
        <v>0</v>
      </c>
      <c r="F43" s="7" t="n">
        <f aca="false">IF($C$8="Yes",(D43+E43)*15%,0)</f>
        <v>0</v>
      </c>
      <c r="G43" s="7" t="n">
        <f aca="false">D43+E43+F43</f>
        <v>0</v>
      </c>
    </row>
    <row r="44" customFormat="false" ht="15" hidden="false" customHeight="false" outlineLevel="0" collapsed="false">
      <c r="B44" s="22" t="n">
        <v>12</v>
      </c>
      <c r="C44" s="22" t="str">
        <f aca="false">IF(B44&lt;=$C$7,"Yes","No")</f>
        <v>No</v>
      </c>
      <c r="D44" s="9" t="n">
        <f aca="false">IF(C44="Yes",$C$19,0)</f>
        <v>0</v>
      </c>
      <c r="E44" s="9" t="n">
        <f aca="false">IF(B44=1,$C$24,0)</f>
        <v>0</v>
      </c>
      <c r="F44" s="9" t="n">
        <f aca="false">IF($C$8="Yes",(D44+E44)*15%,0)</f>
        <v>0</v>
      </c>
      <c r="G44" s="9" t="n">
        <f aca="false">D44+E44+F44</f>
        <v>0</v>
      </c>
    </row>
  </sheetData>
  <mergeCells count="6">
    <mergeCell ref="B2:J2"/>
    <mergeCell ref="B3:J3"/>
    <mergeCell ref="B5:J5"/>
    <mergeCell ref="B11:J11"/>
    <mergeCell ref="B22:J22"/>
    <mergeCell ref="B31:J31"/>
  </mergeCells>
  <dataValidations count="3">
    <dataValidation allowBlank="false" errorStyle="stop" operator="between" showDropDown="false" showErrorMessage="false" showInputMessage="false" sqref="C6" type="list">
      <formula1>"Foundation,Launch,Growth,Scale,Market Leader"</formula1>
      <formula2>0</formula2>
    </dataValidation>
    <dataValidation allowBlank="false" errorStyle="stop" operator="between" showDropDown="false" showErrorMessage="false" showInputMessage="false" sqref="C7" type="list">
      <formula1>"3,6,9,12"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28"/>
    <col collapsed="false" customWidth="true" hidden="false" outlineLevel="0" max="7" min="7" style="0" width="30"/>
    <col collapsed="false" customWidth="true" hidden="false" outlineLevel="0" max="10" min="8" style="0" width="4"/>
  </cols>
  <sheetData>
    <row r="2" customFormat="false" ht="33.75" hidden="false" customHeight="true" outlineLevel="0" collapsed="false">
      <c r="B2" s="1" t="s">
        <v>73</v>
      </c>
      <c r="C2" s="1"/>
      <c r="D2" s="1"/>
      <c r="E2" s="1"/>
      <c r="F2" s="1"/>
      <c r="G2" s="1"/>
      <c r="H2" s="1"/>
      <c r="I2" s="1"/>
      <c r="J2" s="1"/>
    </row>
    <row r="3" customFormat="false" ht="27.75" hidden="false" customHeight="true" outlineLevel="0" collapsed="false">
      <c r="B3" s="2" t="s">
        <v>74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5" t="s">
        <v>75</v>
      </c>
      <c r="C5" s="5" t="s">
        <v>11</v>
      </c>
      <c r="D5" s="5" t="s">
        <v>13</v>
      </c>
      <c r="E5" s="5" t="s">
        <v>15</v>
      </c>
      <c r="F5" s="5" t="s">
        <v>17</v>
      </c>
      <c r="G5" s="5" t="s">
        <v>19</v>
      </c>
      <c r="H5" s="5"/>
    </row>
    <row r="6" customFormat="false" ht="57.75" hidden="false" customHeight="true" outlineLevel="0" collapsed="false">
      <c r="B6" s="6" t="s">
        <v>76</v>
      </c>
      <c r="C6" s="6" t="s">
        <v>77</v>
      </c>
      <c r="D6" s="6" t="s">
        <v>78</v>
      </c>
      <c r="E6" s="6" t="s">
        <v>79</v>
      </c>
      <c r="F6" s="6" t="s">
        <v>80</v>
      </c>
      <c r="G6" s="6" t="s">
        <v>81</v>
      </c>
    </row>
    <row r="7" customFormat="false" ht="57.75" hidden="false" customHeight="true" outlineLevel="0" collapsed="false">
      <c r="B7" s="8" t="s">
        <v>82</v>
      </c>
      <c r="C7" s="8" t="s">
        <v>83</v>
      </c>
      <c r="D7" s="8" t="s">
        <v>84</v>
      </c>
      <c r="E7" s="8" t="s">
        <v>85</v>
      </c>
      <c r="F7" s="8" t="s">
        <v>86</v>
      </c>
      <c r="G7" s="8" t="s">
        <v>87</v>
      </c>
    </row>
    <row r="8" customFormat="false" ht="57.75" hidden="false" customHeight="true" outlineLevel="0" collapsed="false">
      <c r="B8" s="6" t="s">
        <v>88</v>
      </c>
      <c r="C8" s="6" t="s">
        <v>89</v>
      </c>
      <c r="D8" s="6" t="s">
        <v>90</v>
      </c>
      <c r="E8" s="6" t="s">
        <v>91</v>
      </c>
      <c r="F8" s="6" t="s">
        <v>92</v>
      </c>
      <c r="G8" s="6" t="s">
        <v>93</v>
      </c>
    </row>
    <row r="9" customFormat="false" ht="57.75" hidden="false" customHeight="true" outlineLevel="0" collapsed="false">
      <c r="B9" s="8" t="s">
        <v>94</v>
      </c>
      <c r="C9" s="8" t="s">
        <v>95</v>
      </c>
      <c r="D9" s="8" t="s">
        <v>96</v>
      </c>
      <c r="E9" s="8" t="s">
        <v>97</v>
      </c>
      <c r="F9" s="8" t="s">
        <v>98</v>
      </c>
      <c r="G9" s="8" t="s">
        <v>99</v>
      </c>
    </row>
    <row r="10" customFormat="false" ht="57.75" hidden="false" customHeight="true" outlineLevel="0" collapsed="false">
      <c r="B10" s="6" t="s">
        <v>100</v>
      </c>
      <c r="C10" s="6" t="s">
        <v>101</v>
      </c>
      <c r="D10" s="6" t="s">
        <v>102</v>
      </c>
      <c r="E10" s="6" t="s">
        <v>103</v>
      </c>
      <c r="F10" s="6" t="s">
        <v>104</v>
      </c>
      <c r="G10" s="6" t="s">
        <v>105</v>
      </c>
    </row>
    <row r="11" customFormat="false" ht="57.75" hidden="false" customHeight="true" outlineLevel="0" collapsed="false">
      <c r="B11" s="8" t="s">
        <v>106</v>
      </c>
      <c r="C11" s="8" t="s">
        <v>107</v>
      </c>
      <c r="D11" s="8" t="s">
        <v>108</v>
      </c>
      <c r="E11" s="8" t="s">
        <v>109</v>
      </c>
      <c r="F11" s="8" t="s">
        <v>110</v>
      </c>
      <c r="G11" s="8" t="s">
        <v>111</v>
      </c>
    </row>
    <row r="12" customFormat="false" ht="57.75" hidden="false" customHeight="true" outlineLevel="0" collapsed="false">
      <c r="B12" s="6" t="s">
        <v>112</v>
      </c>
      <c r="C12" s="6" t="s">
        <v>113</v>
      </c>
      <c r="D12" s="6" t="s">
        <v>114</v>
      </c>
      <c r="E12" s="6" t="s">
        <v>115</v>
      </c>
      <c r="F12" s="6" t="s">
        <v>116</v>
      </c>
      <c r="G12" s="6" t="s">
        <v>117</v>
      </c>
    </row>
    <row r="13" customFormat="false" ht="57.75" hidden="false" customHeight="true" outlineLevel="0" collapsed="false">
      <c r="B13" s="8" t="s">
        <v>118</v>
      </c>
      <c r="C13" s="8" t="s">
        <v>119</v>
      </c>
      <c r="D13" s="8" t="s">
        <v>120</v>
      </c>
      <c r="E13" s="8" t="s">
        <v>121</v>
      </c>
      <c r="F13" s="8" t="s">
        <v>122</v>
      </c>
      <c r="G13" s="8" t="s">
        <v>123</v>
      </c>
    </row>
    <row r="14" customFormat="false" ht="57.75" hidden="false" customHeight="true" outlineLevel="0" collapsed="false">
      <c r="B14" s="6" t="s">
        <v>124</v>
      </c>
      <c r="C14" s="6" t="s">
        <v>125</v>
      </c>
      <c r="D14" s="6" t="s">
        <v>126</v>
      </c>
      <c r="E14" s="6" t="s">
        <v>127</v>
      </c>
      <c r="F14" s="6" t="s">
        <v>128</v>
      </c>
      <c r="G14" s="6" t="s">
        <v>129</v>
      </c>
    </row>
    <row r="15" customFormat="false" ht="57.75" hidden="false" customHeight="true" outlineLevel="0" collapsed="false">
      <c r="B15" s="8" t="s">
        <v>130</v>
      </c>
      <c r="C15" s="8" t="s">
        <v>131</v>
      </c>
      <c r="D15" s="8" t="s">
        <v>132</v>
      </c>
      <c r="E15" s="8" t="s">
        <v>133</v>
      </c>
      <c r="F15" s="8" t="s">
        <v>134</v>
      </c>
      <c r="G15" s="8" t="s">
        <v>135</v>
      </c>
    </row>
    <row r="16" customFormat="false" ht="57.75" hidden="false" customHeight="true" outlineLevel="0" collapsed="false">
      <c r="B16" s="6" t="s">
        <v>136</v>
      </c>
      <c r="C16" s="6" t="s">
        <v>137</v>
      </c>
      <c r="D16" s="6" t="s">
        <v>138</v>
      </c>
      <c r="E16" s="6" t="s">
        <v>139</v>
      </c>
      <c r="F16" s="6" t="s">
        <v>140</v>
      </c>
      <c r="G16" s="6" t="s">
        <v>141</v>
      </c>
    </row>
    <row r="17" customFormat="false" ht="57.75" hidden="false" customHeight="true" outlineLevel="0" collapsed="false">
      <c r="B17" s="8" t="s">
        <v>142</v>
      </c>
      <c r="C17" s="8" t="s">
        <v>143</v>
      </c>
      <c r="D17" s="8" t="s">
        <v>144</v>
      </c>
      <c r="E17" s="8" t="s">
        <v>145</v>
      </c>
      <c r="F17" s="8" t="s">
        <v>146</v>
      </c>
      <c r="G17" s="8" t="s">
        <v>147</v>
      </c>
    </row>
    <row r="20" customFormat="false" ht="15" hidden="false" customHeight="true" outlineLevel="0" collapsed="false">
      <c r="B20" s="14" t="s">
        <v>148</v>
      </c>
      <c r="C20" s="14"/>
      <c r="D20" s="14"/>
      <c r="E20" s="14"/>
      <c r="F20" s="14"/>
      <c r="G20" s="14"/>
    </row>
    <row r="21" customFormat="false" ht="15" hidden="false" customHeight="false" outlineLevel="0" collapsed="false"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B22" s="14"/>
      <c r="C22" s="14"/>
      <c r="D22" s="14"/>
      <c r="E22" s="14"/>
      <c r="F22" s="14"/>
      <c r="G22" s="14"/>
    </row>
  </sheetData>
  <autoFilter ref="A2:J22"/>
  <mergeCells count="3">
    <mergeCell ref="B2:J2"/>
    <mergeCell ref="B3:J3"/>
    <mergeCell ref="B20:G22"/>
  </mergeCell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10" min="8" style="0" width="4"/>
  </cols>
  <sheetData>
    <row r="2" customFormat="false" ht="33.75" hidden="false" customHeight="true" outlineLevel="0" collapsed="false">
      <c r="B2" s="1" t="s">
        <v>149</v>
      </c>
      <c r="C2" s="1"/>
      <c r="D2" s="1"/>
      <c r="E2" s="1"/>
      <c r="F2" s="1"/>
      <c r="G2" s="1"/>
      <c r="H2" s="1"/>
      <c r="I2" s="1"/>
      <c r="J2" s="1"/>
    </row>
    <row r="3" customFormat="false" ht="27.75" hidden="false" customHeight="true" outlineLevel="0" collapsed="false">
      <c r="B3" s="2" t="s">
        <v>150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5" t="s">
        <v>151</v>
      </c>
      <c r="C5" s="5" t="s">
        <v>152</v>
      </c>
      <c r="D5" s="5" t="s">
        <v>153</v>
      </c>
      <c r="E5" s="5" t="s">
        <v>154</v>
      </c>
      <c r="F5" s="5" t="s">
        <v>155</v>
      </c>
      <c r="G5" s="5" t="s">
        <v>156</v>
      </c>
      <c r="H5" s="5"/>
    </row>
    <row r="6" customFormat="false" ht="37.5" hidden="false" customHeight="true" outlineLevel="0" collapsed="false">
      <c r="B6" s="6" t="s">
        <v>157</v>
      </c>
      <c r="C6" s="6" t="s">
        <v>158</v>
      </c>
      <c r="D6" s="7" t="n">
        <v>5000</v>
      </c>
      <c r="E6" s="6" t="s">
        <v>159</v>
      </c>
      <c r="F6" s="23" t="s">
        <v>160</v>
      </c>
      <c r="G6" s="7" t="n">
        <f aca="false">IF(F6="Yes",D6,0)</f>
        <v>0</v>
      </c>
    </row>
    <row r="7" customFormat="false" ht="37.5" hidden="false" customHeight="true" outlineLevel="0" collapsed="false">
      <c r="B7" s="8" t="s">
        <v>161</v>
      </c>
      <c r="C7" s="8" t="s">
        <v>158</v>
      </c>
      <c r="D7" s="9" t="n">
        <v>4500</v>
      </c>
      <c r="E7" s="8" t="s">
        <v>162</v>
      </c>
      <c r="F7" s="23" t="s">
        <v>160</v>
      </c>
      <c r="G7" s="9" t="n">
        <f aca="false">IF(F7="Yes",D7,0)</f>
        <v>0</v>
      </c>
    </row>
    <row r="8" customFormat="false" ht="37.5" hidden="false" customHeight="true" outlineLevel="0" collapsed="false">
      <c r="B8" s="6" t="s">
        <v>163</v>
      </c>
      <c r="C8" s="6" t="s">
        <v>158</v>
      </c>
      <c r="D8" s="7" t="n">
        <v>8500</v>
      </c>
      <c r="E8" s="6" t="s">
        <v>164</v>
      </c>
      <c r="F8" s="23" t="s">
        <v>160</v>
      </c>
      <c r="G8" s="7" t="n">
        <f aca="false">IF(F8="Yes",D8,0)</f>
        <v>0</v>
      </c>
    </row>
    <row r="9" customFormat="false" ht="37.5" hidden="false" customHeight="true" outlineLevel="0" collapsed="false">
      <c r="B9" s="8" t="s">
        <v>165</v>
      </c>
      <c r="C9" s="8" t="s">
        <v>166</v>
      </c>
      <c r="D9" s="9" t="n">
        <v>18000</v>
      </c>
      <c r="E9" s="8" t="s">
        <v>167</v>
      </c>
      <c r="F9" s="23" t="s">
        <v>160</v>
      </c>
      <c r="G9" s="9" t="n">
        <f aca="false">IF(F9="Yes",D9,0)</f>
        <v>0</v>
      </c>
    </row>
    <row r="10" customFormat="false" ht="37.5" hidden="false" customHeight="true" outlineLevel="0" collapsed="false">
      <c r="B10" s="6" t="s">
        <v>168</v>
      </c>
      <c r="C10" s="6" t="s">
        <v>158</v>
      </c>
      <c r="D10" s="7" t="n">
        <v>7500</v>
      </c>
      <c r="E10" s="6" t="s">
        <v>169</v>
      </c>
      <c r="F10" s="23" t="s">
        <v>160</v>
      </c>
      <c r="G10" s="7" t="n">
        <f aca="false">IF(F10="Yes",D10,0)</f>
        <v>0</v>
      </c>
    </row>
    <row r="11" customFormat="false" ht="37.5" hidden="false" customHeight="true" outlineLevel="0" collapsed="false">
      <c r="B11" s="8" t="s">
        <v>170</v>
      </c>
      <c r="C11" s="8" t="s">
        <v>158</v>
      </c>
      <c r="D11" s="9" t="n">
        <v>7000</v>
      </c>
      <c r="E11" s="8" t="s">
        <v>171</v>
      </c>
      <c r="F11" s="23" t="s">
        <v>160</v>
      </c>
      <c r="G11" s="9" t="n">
        <f aca="false">IF(F11="Yes",D11,0)</f>
        <v>0</v>
      </c>
    </row>
    <row r="12" customFormat="false" ht="37.5" hidden="false" customHeight="true" outlineLevel="0" collapsed="false">
      <c r="B12" s="6" t="s">
        <v>172</v>
      </c>
      <c r="C12" s="6" t="s">
        <v>166</v>
      </c>
      <c r="D12" s="7" t="n">
        <v>6500</v>
      </c>
      <c r="E12" s="6" t="s">
        <v>173</v>
      </c>
      <c r="F12" s="23" t="s">
        <v>160</v>
      </c>
      <c r="G12" s="7" t="n">
        <f aca="false">IF(F12="Yes",D12,0)</f>
        <v>0</v>
      </c>
    </row>
    <row r="13" customFormat="false" ht="37.5" hidden="false" customHeight="true" outlineLevel="0" collapsed="false">
      <c r="B13" s="8" t="s">
        <v>174</v>
      </c>
      <c r="C13" s="8" t="s">
        <v>166</v>
      </c>
      <c r="D13" s="9" t="n">
        <v>5500</v>
      </c>
      <c r="E13" s="8" t="s">
        <v>175</v>
      </c>
      <c r="F13" s="23" t="s">
        <v>160</v>
      </c>
      <c r="G13" s="9" t="n">
        <f aca="false">IF(F13="Yes",D13,0)</f>
        <v>0</v>
      </c>
    </row>
    <row r="14" customFormat="false" ht="37.5" hidden="false" customHeight="true" outlineLevel="0" collapsed="false">
      <c r="B14" s="6" t="s">
        <v>176</v>
      </c>
      <c r="C14" s="6" t="s">
        <v>166</v>
      </c>
      <c r="D14" s="7" t="n">
        <v>9500</v>
      </c>
      <c r="E14" s="6" t="s">
        <v>177</v>
      </c>
      <c r="F14" s="23" t="s">
        <v>160</v>
      </c>
      <c r="G14" s="7" t="n">
        <f aca="false">IF(F14="Yes",D14,0)</f>
        <v>0</v>
      </c>
    </row>
    <row r="15" customFormat="false" ht="37.5" hidden="false" customHeight="true" outlineLevel="0" collapsed="false">
      <c r="B15" s="8" t="s">
        <v>178</v>
      </c>
      <c r="C15" s="8" t="s">
        <v>166</v>
      </c>
      <c r="D15" s="9" t="n">
        <v>12500</v>
      </c>
      <c r="E15" s="8" t="s">
        <v>179</v>
      </c>
      <c r="F15" s="23" t="s">
        <v>160</v>
      </c>
      <c r="G15" s="9" t="n">
        <f aca="false">IF(F15="Yes",D15,0)</f>
        <v>0</v>
      </c>
    </row>
    <row r="16" customFormat="false" ht="37.5" hidden="false" customHeight="true" outlineLevel="0" collapsed="false">
      <c r="B16" s="6" t="s">
        <v>180</v>
      </c>
      <c r="C16" s="6" t="s">
        <v>166</v>
      </c>
      <c r="D16" s="7" t="n">
        <v>18000</v>
      </c>
      <c r="E16" s="6" t="s">
        <v>181</v>
      </c>
      <c r="F16" s="23" t="s">
        <v>160</v>
      </c>
      <c r="G16" s="7" t="n">
        <f aca="false">IF(F16="Yes",D16,0)</f>
        <v>0</v>
      </c>
    </row>
    <row r="17" customFormat="false" ht="37.5" hidden="false" customHeight="true" outlineLevel="0" collapsed="false">
      <c r="B17" s="8" t="s">
        <v>182</v>
      </c>
      <c r="C17" s="8" t="s">
        <v>166</v>
      </c>
      <c r="D17" s="9" t="n">
        <v>15000</v>
      </c>
      <c r="E17" s="8" t="s">
        <v>183</v>
      </c>
      <c r="F17" s="23" t="s">
        <v>160</v>
      </c>
      <c r="G17" s="9" t="n">
        <f aca="false">IF(F17="Yes",D17,0)</f>
        <v>0</v>
      </c>
    </row>
    <row r="18" customFormat="false" ht="28.35" hidden="false" customHeight="false" outlineLevel="0" collapsed="false">
      <c r="F18" s="24" t="s">
        <v>184</v>
      </c>
      <c r="G18" s="25" t="n">
        <f aca="false">SUMIFS(G6:G17,C6:C17,"Monthly")</f>
        <v>0</v>
      </c>
    </row>
    <row r="19" customFormat="false" ht="28.35" hidden="false" customHeight="false" outlineLevel="0" collapsed="false">
      <c r="F19" s="24" t="s">
        <v>185</v>
      </c>
      <c r="G19" s="25" t="n">
        <f aca="false">SUMIFS(G6:G17,C6:C17,"Once-off")</f>
        <v>0</v>
      </c>
    </row>
  </sheetData>
  <autoFilter ref="A2:J19"/>
  <mergeCells count="2">
    <mergeCell ref="B2:J2"/>
    <mergeCell ref="B3:J3"/>
  </mergeCells>
  <dataValidations count="1">
    <dataValidation allowBlank="false" errorStyle="stop" operator="between" showDropDown="false" showErrorMessage="false" showInputMessage="false" sqref="F6:F17" type="list">
      <formula1>"No,Yes"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5" min="3" style="0" width="18"/>
    <col collapsed="false" customWidth="true" hidden="false" outlineLevel="0" max="6" min="6" style="0" width="3"/>
    <col collapsed="false" customWidth="true" hidden="false" outlineLevel="0" max="10" min="7" style="0" width="15"/>
  </cols>
  <sheetData>
    <row r="2" customFormat="false" ht="33.75" hidden="false" customHeight="true" outlineLevel="0" collapsed="false">
      <c r="B2" s="1" t="s">
        <v>186</v>
      </c>
      <c r="C2" s="1"/>
      <c r="D2" s="1"/>
      <c r="E2" s="1"/>
      <c r="F2" s="1"/>
      <c r="G2" s="1"/>
      <c r="H2" s="1"/>
      <c r="I2" s="1"/>
      <c r="J2" s="1"/>
    </row>
    <row r="3" customFormat="false" ht="27.75" hidden="false" customHeight="true" outlineLevel="0" collapsed="false">
      <c r="B3" s="2" t="s">
        <v>187</v>
      </c>
      <c r="C3" s="2"/>
      <c r="D3" s="2"/>
      <c r="E3" s="2"/>
      <c r="F3" s="2"/>
      <c r="G3" s="2"/>
      <c r="H3" s="2"/>
      <c r="I3" s="2"/>
      <c r="J3" s="2"/>
    </row>
    <row r="5" customFormat="false" ht="24" hidden="false" customHeight="true" outlineLevel="0" collapsed="false">
      <c r="B5" s="3" t="s">
        <v>188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B6" s="6" t="s">
        <v>189</v>
      </c>
      <c r="C6" s="26" t="n">
        <v>950</v>
      </c>
    </row>
    <row r="7" customFormat="false" ht="15" hidden="false" customHeight="false" outlineLevel="0" collapsed="false">
      <c r="B7" s="8" t="s">
        <v>190</v>
      </c>
      <c r="C7" s="27" t="n">
        <v>0.55</v>
      </c>
    </row>
    <row r="8" customFormat="false" ht="15" hidden="false" customHeight="false" outlineLevel="0" collapsed="false">
      <c r="B8" s="6" t="s">
        <v>191</v>
      </c>
      <c r="C8" s="27" t="n">
        <v>0.1</v>
      </c>
    </row>
    <row r="9" customFormat="false" ht="15" hidden="false" customHeight="false" outlineLevel="0" collapsed="false">
      <c r="B9" s="8" t="s">
        <v>192</v>
      </c>
      <c r="C9" s="28" t="n">
        <v>1.4</v>
      </c>
    </row>
    <row r="10" customFormat="false" ht="15" hidden="false" customHeight="false" outlineLevel="0" collapsed="false">
      <c r="B10" s="6" t="s">
        <v>193</v>
      </c>
      <c r="C10" s="29" t="n">
        <v>1500</v>
      </c>
    </row>
    <row r="11" customFormat="false" ht="15" hidden="false" customHeight="false" outlineLevel="0" collapsed="false">
      <c r="B11" s="8" t="s">
        <v>194</v>
      </c>
      <c r="C11" s="29" t="n">
        <v>80</v>
      </c>
    </row>
    <row r="12" customFormat="false" ht="15" hidden="false" customHeight="false" outlineLevel="0" collapsed="false">
      <c r="B12" s="6" t="s">
        <v>195</v>
      </c>
      <c r="C12" s="29" t="n">
        <v>8</v>
      </c>
    </row>
    <row r="15" customFormat="false" ht="24" hidden="false" customHeight="true" outlineLevel="0" collapsed="false">
      <c r="B15" s="3" t="s">
        <v>196</v>
      </c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B16" s="6" t="s">
        <v>197</v>
      </c>
      <c r="C16" s="7" t="n">
        <f aca="false">'Package Builder'!C19</f>
        <v>48375</v>
      </c>
    </row>
    <row r="17" customFormat="false" ht="15" hidden="false" customHeight="false" outlineLevel="0" collapsed="false">
      <c r="B17" s="8" t="s">
        <v>198</v>
      </c>
      <c r="C17" s="7" t="n">
        <f aca="false">C6*C7</f>
        <v>522.5</v>
      </c>
    </row>
    <row r="18" customFormat="false" ht="15" hidden="false" customHeight="false" outlineLevel="0" collapsed="false">
      <c r="B18" s="6" t="s">
        <v>199</v>
      </c>
      <c r="C18" s="7" t="n">
        <f aca="false">C6*C7*C9</f>
        <v>731.5</v>
      </c>
    </row>
    <row r="19" customFormat="false" ht="15" hidden="false" customHeight="false" outlineLevel="0" collapsed="false">
      <c r="B19" s="8" t="s">
        <v>200</v>
      </c>
      <c r="C19" s="30" t="n">
        <f aca="false">IFERROR(C16/C17,0)</f>
        <v>92.5837320574163</v>
      </c>
    </row>
    <row r="20" customFormat="false" ht="15" hidden="false" customHeight="false" outlineLevel="0" collapsed="false">
      <c r="B20" s="6" t="s">
        <v>201</v>
      </c>
      <c r="C20" s="30" t="n">
        <f aca="false">IFERROR(C16/C18,0)</f>
        <v>66.1312371838688</v>
      </c>
    </row>
    <row r="21" customFormat="false" ht="15" hidden="false" customHeight="false" outlineLevel="0" collapsed="false">
      <c r="B21" s="8" t="s">
        <v>202</v>
      </c>
      <c r="C21" s="31" t="n">
        <f aca="false">IFERROR(C20/C8,0)</f>
        <v>661.312371838688</v>
      </c>
    </row>
    <row r="22" customFormat="false" ht="15" hidden="false" customHeight="false" outlineLevel="0" collapsed="false">
      <c r="B22" s="6" t="s">
        <v>203</v>
      </c>
      <c r="C22" s="32" t="n">
        <f aca="false">IFERROR(C20/C12-1,0)</f>
        <v>7.2664046479836</v>
      </c>
    </row>
    <row r="25" customFormat="false" ht="24" hidden="false" customHeight="true" outlineLevel="0" collapsed="false">
      <c r="B25" s="3" t="s">
        <v>204</v>
      </c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false" outlineLevel="0" collapsed="false">
      <c r="B26" s="5" t="s">
        <v>205</v>
      </c>
      <c r="C26" s="5" t="s">
        <v>206</v>
      </c>
      <c r="D26" s="5" t="s">
        <v>207</v>
      </c>
      <c r="E26" s="5" t="s">
        <v>208</v>
      </c>
      <c r="F26" s="5"/>
    </row>
    <row r="27" customFormat="false" ht="15" hidden="false" customHeight="false" outlineLevel="0" collapsed="false">
      <c r="B27" s="6" t="s">
        <v>209</v>
      </c>
      <c r="C27" s="29" t="n">
        <v>60</v>
      </c>
      <c r="D27" s="29" t="n">
        <v>120</v>
      </c>
      <c r="E27" s="29" t="n">
        <v>220</v>
      </c>
    </row>
    <row r="28" customFormat="false" ht="15" hidden="false" customHeight="false" outlineLevel="0" collapsed="false">
      <c r="B28" s="8" t="s">
        <v>210</v>
      </c>
      <c r="C28" s="27" t="n">
        <v>0.07</v>
      </c>
      <c r="D28" s="27" t="n">
        <v>0.1</v>
      </c>
      <c r="E28" s="27" t="n">
        <v>0.13</v>
      </c>
    </row>
    <row r="29" customFormat="false" ht="15" hidden="false" customHeight="false" outlineLevel="0" collapsed="false">
      <c r="B29" s="6" t="s">
        <v>211</v>
      </c>
      <c r="C29" s="30" t="n">
        <f aca="false">C27*C28</f>
        <v>4.2</v>
      </c>
      <c r="D29" s="30" t="n">
        <f aca="false">D27*D28</f>
        <v>12</v>
      </c>
      <c r="E29" s="30" t="n">
        <f aca="false">E27*E28</f>
        <v>28.6</v>
      </c>
    </row>
    <row r="30" customFormat="false" ht="15" hidden="false" customHeight="false" outlineLevel="0" collapsed="false">
      <c r="B30" s="8" t="s">
        <v>212</v>
      </c>
      <c r="C30" s="7" t="n">
        <f aca="false">C29*$C$6*$C$9*12</f>
        <v>67032</v>
      </c>
      <c r="D30" s="7" t="n">
        <f aca="false">D29*$C$6*$C$9*12</f>
        <v>191520</v>
      </c>
      <c r="E30" s="7" t="n">
        <f aca="false">E29*$C$6*$C$9*12</f>
        <v>456456</v>
      </c>
    </row>
    <row r="31" customFormat="false" ht="15" hidden="false" customHeight="false" outlineLevel="0" collapsed="false">
      <c r="B31" s="6" t="s">
        <v>213</v>
      </c>
      <c r="C31" s="7" t="n">
        <f aca="false">C30*$C$7</f>
        <v>36867.6</v>
      </c>
      <c r="D31" s="7" t="n">
        <f aca="false">D30*$C$7</f>
        <v>105336</v>
      </c>
      <c r="E31" s="7" t="n">
        <f aca="false">E30*$C$7</f>
        <v>251050.8</v>
      </c>
    </row>
    <row r="32" customFormat="false" ht="15" hidden="false" customHeight="false" outlineLevel="0" collapsed="false">
      <c r="B32" s="8" t="s">
        <v>214</v>
      </c>
      <c r="C32" s="7" t="n">
        <f aca="false">'Package Builder'!C19*12+'Add-Ons'!G19</f>
        <v>580500</v>
      </c>
      <c r="D32" s="7" t="n">
        <f aca="false">'Package Builder'!C19*12+'Add-Ons'!G19</f>
        <v>580500</v>
      </c>
      <c r="E32" s="7" t="n">
        <f aca="false">'Package Builder'!C19*12+'Add-Ons'!G19</f>
        <v>580500</v>
      </c>
    </row>
    <row r="33" customFormat="false" ht="15" hidden="false" customHeight="false" outlineLevel="0" collapsed="false">
      <c r="B33" s="6" t="s">
        <v>215</v>
      </c>
      <c r="C33" s="32" t="n">
        <f aca="false">IFERROR((C31-C32)/C32,0)</f>
        <v>-0.93648992248062</v>
      </c>
      <c r="D33" s="32" t="n">
        <f aca="false">IFERROR((D31-D32)/D32,0)</f>
        <v>-0.818542635658915</v>
      </c>
      <c r="E33" s="32" t="n">
        <f aca="false">IFERROR((E31-E32)/E32,0)</f>
        <v>-0.56752661498708</v>
      </c>
    </row>
    <row r="36" customFormat="false" ht="15" hidden="false" customHeight="true" outlineLevel="0" collapsed="false">
      <c r="B36" s="14" t="s">
        <v>216</v>
      </c>
      <c r="C36" s="14"/>
      <c r="D36" s="14"/>
      <c r="E36" s="14"/>
      <c r="F36" s="14"/>
      <c r="G36" s="14"/>
      <c r="H36" s="14"/>
      <c r="I36" s="14"/>
      <c r="J36" s="14"/>
    </row>
    <row r="37" customFormat="false" ht="15" hidden="false" customHeight="false" outlineLevel="0" collapsed="false">
      <c r="B37" s="14"/>
      <c r="C37" s="14"/>
      <c r="D37" s="14"/>
      <c r="E37" s="14"/>
      <c r="F37" s="14"/>
      <c r="G37" s="14"/>
      <c r="H37" s="14"/>
      <c r="I37" s="14"/>
      <c r="J37" s="14"/>
    </row>
    <row r="38" customFormat="false" ht="15" hidden="false" customHeight="false" outlineLevel="0" collapsed="false">
      <c r="B38" s="14"/>
      <c r="C38" s="14"/>
      <c r="D38" s="14"/>
      <c r="E38" s="14"/>
      <c r="F38" s="14"/>
      <c r="G38" s="14"/>
      <c r="H38" s="14"/>
      <c r="I38" s="14"/>
      <c r="J38" s="14"/>
    </row>
    <row r="39" customFormat="false" ht="15" hidden="false" customHeight="false" outlineLevel="0" collapsed="false">
      <c r="B39" s="14"/>
      <c r="C39" s="14"/>
      <c r="D39" s="14"/>
      <c r="E39" s="14"/>
      <c r="F39" s="14"/>
      <c r="G39" s="14"/>
      <c r="H39" s="14"/>
      <c r="I39" s="14"/>
      <c r="J39" s="14"/>
    </row>
  </sheetData>
  <mergeCells count="6">
    <mergeCell ref="B2:J2"/>
    <mergeCell ref="B3:J3"/>
    <mergeCell ref="B5:J5"/>
    <mergeCell ref="B15:J15"/>
    <mergeCell ref="B25:J25"/>
    <mergeCell ref="B36:J39"/>
  </mergeCell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2026-08-16T10:45:44Z</dcterms:created>
  <dc:creator>Manus AI</dc:creator>
  <dc:description>Editable package, add-on, commitment discount and break-even model.</dc:description>
  <cp:keywords>NMS South Africa digital marketing ecommerce proposal ROI ZAR</cp:keywords>
  <dc:language>en-US</dc:language>
  <cp:lastModifiedBy/>
  <dcterms:modified xsi:type="dcterms:W3CDTF">2026-08-16T10:45:44Z</dcterms:modified>
  <cp:revision>0</cp:revision>
  <dc:subject>Selectable 3–12 month South African digital transformation packages</dc:subject>
  <dc:title>NMS Turnkey Digital Growth Programme – Budget and ROI Selector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