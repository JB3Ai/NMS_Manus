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&amp; Instructions" sheetId="1" state="visible" r:id="rId1"/>
    <sheet xmlns:r="http://schemas.openxmlformats.org/officeDocument/2006/relationships" name="Hero Scorecard" sheetId="2" state="visible" r:id="rId2"/>
    <sheet xmlns:r="http://schemas.openxmlformats.org/officeDocument/2006/relationships" name="Candidate SKU Libr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#,##0.00"/>
  </numFmts>
  <fonts count="12">
    <font>
      <name val="Calibri"/>
      <family val="2"/>
      <color theme="1"/>
      <sz val="11"/>
      <scheme val="minor"/>
    </font>
    <font>
      <name val="Public Sans"/>
      <b val="1"/>
      <color rgb="000F382B"/>
      <sz val="16"/>
    </font>
    <font>
      <name val="Public Sans"/>
      <i val="1"/>
      <color rgb="00427A70"/>
      <sz val="11"/>
    </font>
    <font>
      <name val="Public Sans"/>
      <i val="1"/>
      <color rgb="00666666"/>
      <sz val="8"/>
    </font>
    <font>
      <name val="Public Sans"/>
      <b val="1"/>
      <color rgb="000F382B"/>
      <sz val="11"/>
    </font>
    <font>
      <name val="Public Sans"/>
      <b val="1"/>
      <color rgb="00FFFFFF"/>
      <sz val="10"/>
    </font>
    <font>
      <name val="Public Sans"/>
      <b val="1"/>
      <color rgb="001C1C1C"/>
      <sz val="10"/>
    </font>
    <font>
      <name val="Public Sans"/>
      <color rgb="001C1C1C"/>
      <sz val="10"/>
    </font>
    <font>
      <name val="Public Sans"/>
      <b val="1"/>
      <color rgb="00427A70"/>
      <sz val="10"/>
      <u val="single"/>
    </font>
    <font>
      <name val="Public Sans"/>
      <i val="1"/>
      <color rgb="001C1C1C"/>
      <sz val="10"/>
    </font>
    <font>
      <name val="Public Sans"/>
      <b val="1"/>
      <color rgb="000F382B"/>
      <sz val="10"/>
    </font>
    <font>
      <name val="Public Sans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0F382B"/>
        <bgColor rgb="000F382B"/>
      </patternFill>
    </fill>
    <fill>
      <patternFill patternType="solid">
        <fgColor rgb="00427A70"/>
        <bgColor rgb="00427A70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AF9F5"/>
        <bgColor rgb="00FAF9F5"/>
      </patternFill>
    </fill>
    <fill>
      <patternFill patternType="solid">
        <fgColor rgb="00F9EBEA"/>
        <bgColor rgb="00F9EBEA"/>
      </patternFill>
    </fill>
    <fill>
      <patternFill patternType="solid">
        <fgColor rgb="00F5F2EB"/>
        <bgColor rgb="00F5F2EB"/>
      </patternFill>
    </fill>
    <fill>
      <patternFill patternType="solid">
        <fgColor rgb="00EBE6DA"/>
        <bgColor rgb="00EBE6DA"/>
      </patternFill>
    </fill>
    <fill>
      <patternFill patternType="solid">
        <fgColor rgb="00EAF2F1"/>
        <bgColor rgb="00EAF2F1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bottom style="medium">
        <color rgb="000F382B"/>
      </bottom>
    </border>
    <border>
      <left style="thin">
        <color rgb="00EBE6DA"/>
      </left>
      <right style="thin">
        <color rgb="00EBE6DA"/>
      </right>
      <top style="thin">
        <color rgb="00EBE6DA"/>
      </top>
      <bottom style="thin">
        <color rgb="00EBE6D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8" borderId="2" pivotButton="0" quotePrefix="0" xfId="0"/>
    <xf numFmtId="0" fontId="11" fillId="3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/>
    </xf>
    <xf numFmtId="9" fontId="6" fillId="9" borderId="2" applyAlignment="1" pivotButton="0" quotePrefix="0" xfId="0">
      <alignment horizontal="center" vertical="center"/>
    </xf>
    <xf numFmtId="9" fontId="6" fillId="5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/>
    </xf>
    <xf numFmtId="1" fontId="7" fillId="4" borderId="2" applyAlignment="1" pivotButton="0" quotePrefix="0" xfId="0">
      <alignment horizontal="center" vertical="center"/>
    </xf>
    <xf numFmtId="2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right" vertical="center"/>
    </xf>
    <xf numFmtId="0" fontId="6" fillId="11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OC &amp; Instructions'!A1" TargetMode="External" Id="rId1"/><Relationship Type="http://schemas.openxmlformats.org/officeDocument/2006/relationships/hyperlink" Target="#'Hero Scorecard'!A1" TargetMode="External" Id="rId2"/><Relationship Type="http://schemas.openxmlformats.org/officeDocument/2006/relationships/hyperlink" Target="#'Candidate SKU Library'!A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5" customWidth="1" min="3" max="3"/>
    <col width="55" customWidth="1" min="4" max="4"/>
  </cols>
  <sheetData>
    <row r="2">
      <c r="B2" s="1" t="inlineStr">
        <is>
          <t>Natural Medicinal Services (Pty) Ltd</t>
        </is>
      </c>
    </row>
    <row r="3">
      <c r="B3" s="2" t="inlineStr">
        <is>
          <t>Gauteng-First Relaunch: Brand Transformation &amp; Hero SKU Selection</t>
        </is>
      </c>
    </row>
    <row r="4">
      <c r="B4" s="3" t="inlineStr">
        <is>
          <t>System Version: August 2026 | Release v1.0 | Operational Directive</t>
        </is>
      </c>
    </row>
    <row r="6">
      <c r="B6" s="4" t="inlineStr">
        <is>
          <t>1. TABLE OF CONTENTS</t>
        </is>
      </c>
    </row>
    <row r="7">
      <c r="B7" s="5" t="inlineStr">
        <is>
          <t>Tab Name</t>
        </is>
      </c>
      <c r="C7" s="5" t="inlineStr">
        <is>
          <t>Description</t>
        </is>
      </c>
      <c r="D7" s="5" t="inlineStr">
        <is>
          <t>Interactive Link</t>
        </is>
      </c>
    </row>
    <row r="8">
      <c r="B8" s="6" t="inlineStr">
        <is>
          <t>TOC &amp; Instructions</t>
        </is>
      </c>
      <c r="C8" s="7" t="inlineStr">
        <is>
          <t>This welcome tab containing the operational blueprint, red flags, and color coding guide.</t>
        </is>
      </c>
      <c r="D8" s="8" t="inlineStr">
        <is>
          <t>Go →</t>
        </is>
      </c>
    </row>
    <row r="9">
      <c r="B9" s="6" t="inlineStr">
        <is>
          <t>Hero Scorecard</t>
        </is>
      </c>
      <c r="C9" s="7" t="inlineStr">
        <is>
          <t>The core interactive scorecard containing the weighted criteria (25% Regulatory, 15% Margin, etc.) to evaluate SKUs.</t>
        </is>
      </c>
      <c r="D9" s="8" t="inlineStr">
        <is>
          <t>Go →</t>
        </is>
      </c>
    </row>
    <row r="10">
      <c r="B10" s="6" t="inlineStr">
        <is>
          <t>Candidate SKU Library</t>
        </is>
      </c>
      <c r="C10" s="7" t="inlineStr">
        <is>
          <t>Reconstructed botanical library of historical NMS products, codes, and classifications.</t>
        </is>
      </c>
      <c r="D10" s="8" t="inlineStr">
        <is>
          <t>Go →</t>
        </is>
      </c>
    </row>
    <row r="13">
      <c r="B13" s="4" t="inlineStr">
        <is>
          <t>2. SYSTEM LEGEND &amp; CONVENTIONS</t>
        </is>
      </c>
    </row>
    <row r="14">
      <c r="B14" s="9" t="inlineStr">
        <is>
          <t>Visual Style</t>
        </is>
      </c>
      <c r="C14" s="9" t="inlineStr">
        <is>
          <t>Role in Workbook</t>
        </is>
      </c>
      <c r="D14" s="9" t="inlineStr">
        <is>
          <t>User Action Required</t>
        </is>
      </c>
    </row>
    <row r="15">
      <c r="B15" s="10" t="inlineStr">
        <is>
          <t>Light Blue Fill</t>
        </is>
      </c>
      <c r="C15" s="7" t="inlineStr">
        <is>
          <t>Editable Input Cell</t>
        </is>
      </c>
      <c r="D15" s="11" t="inlineStr">
        <is>
          <t>Double-click or type directly to modify scores (1-5) or change dropdown choices.</t>
        </is>
      </c>
    </row>
    <row r="16">
      <c r="B16" s="12" t="inlineStr">
        <is>
          <t>Light Green Fill</t>
        </is>
      </c>
      <c r="C16" s="7" t="inlineStr">
        <is>
          <t>Formula-Computed Cell</t>
        </is>
      </c>
      <c r="D16" s="11" t="inlineStr">
        <is>
          <t>Locked/read-only by design. Contains SUMPRODUCT or nested IF calculations.</t>
        </is>
      </c>
    </row>
    <row r="17">
      <c r="B17" s="13" t="inlineStr">
        <is>
          <t>No Fill / Off-White</t>
        </is>
      </c>
      <c r="C17" s="7" t="inlineStr">
        <is>
          <t>Static Reference Text</t>
        </is>
      </c>
      <c r="D17" s="11" t="inlineStr">
        <is>
          <t>Contains names, categories, or descriptive metadata drawn from sources.</t>
        </is>
      </c>
    </row>
    <row r="18">
      <c r="B18" s="14" t="inlineStr">
        <is>
          <t>Red Highlight</t>
        </is>
      </c>
      <c r="C18" s="7" t="inlineStr">
        <is>
          <t>Disqualification Signal</t>
        </is>
      </c>
      <c r="D18" s="11" t="inlineStr">
        <is>
          <t>Indicates that a SKU has triggered an operational red flag and is banned.</t>
        </is>
      </c>
    </row>
    <row r="21">
      <c r="B21" s="4" t="inlineStr">
        <is>
          <t>3. AUTOMATIC DISQUALIFICATION CRITERIA (RED FLAGS)</t>
        </is>
      </c>
    </row>
    <row r="22">
      <c r="B22" s="5" t="inlineStr">
        <is>
          <t>Red Flag Code</t>
        </is>
      </c>
      <c r="C22" s="5" t="inlineStr">
        <is>
          <t>Rule Definition</t>
        </is>
      </c>
      <c r="D22" s="5" t="inlineStr">
        <is>
          <t>Compliance Explanation</t>
        </is>
      </c>
    </row>
    <row r="23">
      <c r="B23" s="14" t="inlineStr">
        <is>
          <t>RF-01: Prohibited Therapeutic Claims</t>
        </is>
      </c>
      <c r="C23" s="15" t="inlineStr">
        <is>
          <t>Claims relating to: blood pressure, diabetes, fertility, pregnancy, cancer, infection, or 'detox'.</t>
        </is>
      </c>
      <c r="D23" s="11" t="inlineStr">
        <is>
          <t>SAHPRA Category D regulations strictly prohibit cure-oriented or disease-treating claims for complementary medicines without clinical trials.</t>
        </is>
      </c>
    </row>
    <row r="24">
      <c r="B24" s="14" t="inlineStr">
        <is>
          <t>RF-02: Missing Product Record</t>
        </is>
      </c>
      <c r="C24" s="15" t="inlineStr">
        <is>
          <t>No current written formulation, ingredient specification, or batch-testing record.</t>
        </is>
      </c>
      <c r="D24" s="11" t="inlineStr">
        <is>
          <t>NMS cannot launch a product without a verifiable, physical master record in the Technical Data Room.</t>
        </is>
      </c>
    </row>
    <row r="25">
      <c r="B25" s="14" t="inlineStr">
        <is>
          <t>RF-03: Shared / Conflicting Code</t>
        </is>
      </c>
      <c r="C25" s="15" t="inlineStr">
        <is>
          <t>Product shares an internal code or barcode with another distinct SKU.</t>
        </is>
      </c>
      <c r="D25" s="11" t="inlineStr">
        <is>
          <t>Legacy records showed duplicate codes (e.g. Lexan variants), which creates severe retail, logistics, and billing risks.</t>
        </is>
      </c>
    </row>
    <row r="26">
      <c r="B26" s="14" t="inlineStr">
        <is>
          <t>RF-04: SAHPRA Scheduling Conflict</t>
        </is>
      </c>
      <c r="C26" s="15" t="inlineStr">
        <is>
          <t>Contains any ingredient on the SAHPRA Scheduled Medicines or prohibited botanical list.</t>
        </is>
      </c>
      <c r="D26" s="11" t="inlineStr">
        <is>
          <t>Ingredients that are scheduled require pharmaceutical registration and cannot be sold in ordinary retail channels.</t>
        </is>
      </c>
    </row>
    <row r="27">
      <c r="B27" s="14" t="inlineStr">
        <is>
          <t>RF-05: Critical Supply Vulnerability</t>
        </is>
      </c>
      <c r="C27" s="15" t="inlineStr">
        <is>
          <t>Single-sourced imported active ingredient with a lead time greater than 12 weeks.</t>
        </is>
      </c>
      <c r="D27" s="11" t="inlineStr">
        <is>
          <t>Severe cash flow and retail stockout risk during the initial 90-day pilot.</t>
        </is>
      </c>
    </row>
  </sheetData>
  <hyperlinks>
    <hyperlink xmlns:r="http://schemas.openxmlformats.org/officeDocument/2006/relationships" ref="D8" r:id="rId1"/>
    <hyperlink xmlns:r="http://schemas.openxmlformats.org/officeDocument/2006/relationships" ref="D9" r:id="rId2"/>
    <hyperlink xmlns:r="http://schemas.openxmlformats.org/officeDocument/2006/relationships" ref="D10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22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5" customWidth="1" min="2" max="2"/>
    <col width="28" customWidth="1" min="3" max="3"/>
    <col width="15" customWidth="1" min="4" max="4"/>
    <col width="4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  <col width="26" customWidth="1" min="15" max="15"/>
  </cols>
  <sheetData>
    <row r="2">
      <c r="B2" s="1" t="inlineStr">
        <is>
          <t>NMS Hero SKU Weighted Selection Model</t>
        </is>
      </c>
    </row>
    <row r="3">
      <c r="B3" s="16" t="inlineStr">
        <is>
          <t>Evaluate candidate products against the 8 core weighted relaunch criteria. Red flags automatically disqualify products.</t>
        </is>
      </c>
    </row>
    <row r="5">
      <c r="B5" s="17" t="inlineStr">
        <is>
          <t>CRITERION WEIGHTS REGISTER (Formula References)</t>
        </is>
      </c>
    </row>
    <row r="6">
      <c r="B6" s="18" t="inlineStr">
        <is>
          <t>Criteria Names</t>
        </is>
      </c>
      <c r="F6" s="19" t="inlineStr">
        <is>
          <t>Regulatory &amp; Claims</t>
        </is>
      </c>
      <c r="G6" s="19" t="inlineStr">
        <is>
          <t>Demand &amp; Repeat</t>
        </is>
      </c>
      <c r="H6" s="19" t="inlineStr">
        <is>
          <t>Gross Margin</t>
        </is>
      </c>
      <c r="I6" s="19" t="inlineStr">
        <is>
          <t>Supply Resilience</t>
        </is>
      </c>
      <c r="J6" s="19" t="inlineStr">
        <is>
          <t>Brand Differentiation</t>
        </is>
      </c>
      <c r="K6" s="19" t="inlineStr">
        <is>
          <t>Retail Operability</t>
        </is>
      </c>
      <c r="L6" s="19" t="inlineStr">
        <is>
          <t>Digital Discover.</t>
        </is>
      </c>
      <c r="M6" s="19" t="inlineStr">
        <is>
          <t>Regimen Fit</t>
        </is>
      </c>
      <c r="N6" s="20" t="inlineStr">
        <is>
          <t>Total Weights</t>
        </is>
      </c>
    </row>
    <row r="7">
      <c r="B7" s="18" t="inlineStr">
        <is>
          <t>Assigned Weight</t>
        </is>
      </c>
      <c r="F7" s="21" t="n">
        <v>0.25</v>
      </c>
      <c r="G7" s="21" t="n">
        <v>0.15</v>
      </c>
      <c r="H7" s="21" t="n">
        <v>0.15</v>
      </c>
      <c r="I7" s="21" t="n">
        <v>0.15</v>
      </c>
      <c r="J7" s="21" t="n">
        <v>0.1</v>
      </c>
      <c r="K7" s="21" t="n">
        <v>0.1</v>
      </c>
      <c r="L7" s="21" t="n">
        <v>0.05</v>
      </c>
      <c r="M7" s="21" t="n">
        <v>0.05</v>
      </c>
      <c r="N7" s="22">
        <f>SUM(F7:M7)</f>
        <v/>
      </c>
    </row>
    <row r="9">
      <c r="B9" s="4" t="inlineStr">
        <is>
          <t>4. ACTIVE PRODUCT CANDIDATE EVALUATION MATRIX</t>
        </is>
      </c>
    </row>
    <row r="10">
      <c r="B10" s="5" t="inlineStr">
        <is>
          <t>Candidate SKU / Product Name</t>
        </is>
      </c>
      <c r="C10" s="5" t="inlineStr">
        <is>
          <t>Historical Category</t>
        </is>
      </c>
      <c r="D10" s="23" t="inlineStr">
        <is>
          <t>Red Flag
(Yes/No)</t>
        </is>
      </c>
      <c r="E10" s="5" t="inlineStr">
        <is>
          <t>Exclusion Reason / Compliance Note</t>
        </is>
      </c>
      <c r="F10" s="23" t="inlineStr">
        <is>
          <t>Regulatory
Readiness (25%)</t>
        </is>
      </c>
      <c r="G10" s="23" t="inlineStr">
        <is>
          <t>Existing
Demand (15%)</t>
        </is>
      </c>
      <c r="H10" s="23" t="inlineStr">
        <is>
          <t>Gross
Margin (15%)</t>
        </is>
      </c>
      <c r="I10" s="23" t="inlineStr">
        <is>
          <t>Supply
Resilience (15%)</t>
        </is>
      </c>
      <c r="J10" s="23" t="inlineStr">
        <is>
          <t>Brand Diff.
(10%)</t>
        </is>
      </c>
      <c r="K10" s="23" t="inlineStr">
        <is>
          <t>Retail
Operability (10%)</t>
        </is>
      </c>
      <c r="L10" s="23" t="inlineStr">
        <is>
          <t>Digital
Discover. (5%)</t>
        </is>
      </c>
      <c r="M10" s="23" t="inlineStr">
        <is>
          <t>Regimen
Fit (5%)</t>
        </is>
      </c>
      <c r="N10" s="23" t="inlineStr">
        <is>
          <t>Total Weighted
Score (out of 5)</t>
        </is>
      </c>
      <c r="O10" s="5" t="inlineStr">
        <is>
          <t>Operational Selection Status</t>
        </is>
      </c>
    </row>
    <row r="11">
      <c r="B11" s="6" t="inlineStr">
        <is>
          <t>NMS Lexan Tablets</t>
        </is>
      </c>
      <c r="C11" s="7" t="inlineStr">
        <is>
          <t>Finished Oral Remedies</t>
        </is>
      </c>
      <c r="D11" s="24" t="inlineStr">
        <is>
          <t>No</t>
        </is>
      </c>
      <c r="E11" s="25" t="inlineStr">
        <is>
          <t>Formula and active codes verified</t>
        </is>
      </c>
      <c r="F11" s="26" t="n">
        <v>4</v>
      </c>
      <c r="G11" s="26" t="n">
        <v>5</v>
      </c>
      <c r="H11" s="26" t="n">
        <v>4</v>
      </c>
      <c r="I11" s="26" t="n">
        <v>3</v>
      </c>
      <c r="J11" s="26" t="n">
        <v>5</v>
      </c>
      <c r="K11" s="26" t="n">
        <v>4</v>
      </c>
      <c r="L11" s="26" t="n">
        <v>4</v>
      </c>
      <c r="M11" s="26" t="n">
        <v>3</v>
      </c>
      <c r="N11" s="27">
        <f>IF(D11="Yes", 0, SUMPRODUCT(F11:M11, $F$7:$M$7))</f>
        <v/>
      </c>
      <c r="O11" s="12">
        <f>IF(D11="Yes", "🔴 Disqualified (Red)", IF(N11&gt;=4.0, "🟢 Hero Candidate", IF(N11&gt;=3.0, "🟡 Amber (Needs Work)", "🔴 Low Priority")))</f>
        <v/>
      </c>
    </row>
    <row r="12">
      <c r="B12" s="13" t="inlineStr">
        <is>
          <t>NMS Fo-Ti-Tieng Capsules</t>
        </is>
      </c>
      <c r="C12" s="28" t="inlineStr">
        <is>
          <t>Finished Oral Remedies</t>
        </is>
      </c>
      <c r="D12" s="24" t="inlineStr">
        <is>
          <t>No</t>
        </is>
      </c>
      <c r="E12" s="25" t="inlineStr">
        <is>
          <t>Low regulatory claims risk</t>
        </is>
      </c>
      <c r="F12" s="26" t="n">
        <v>3</v>
      </c>
      <c r="G12" s="26" t="n">
        <v>4</v>
      </c>
      <c r="H12" s="26" t="n">
        <v>4</v>
      </c>
      <c r="I12" s="26" t="n">
        <v>3</v>
      </c>
      <c r="J12" s="26" t="n">
        <v>5</v>
      </c>
      <c r="K12" s="26" t="n">
        <v>3</v>
      </c>
      <c r="L12" s="26" t="n">
        <v>5</v>
      </c>
      <c r="M12" s="26" t="n">
        <v>3</v>
      </c>
      <c r="N12" s="27">
        <f>IF(D12="Yes", 0, SUMPRODUCT(F12:M12, $F$7:$M$7))</f>
        <v/>
      </c>
      <c r="O12" s="12">
        <f>IF(D12="Yes", "🔴 Disqualified (Red)", IF(N12&gt;=4.0, "🟢 Hero Candidate", IF(N12&gt;=3.0, "🟡 Amber (Needs Work)", "🔴 Low Priority")))</f>
        <v/>
      </c>
    </row>
    <row r="13">
      <c r="B13" s="6" t="inlineStr">
        <is>
          <t>NMS Cystosan Tablets</t>
        </is>
      </c>
      <c r="C13" s="7" t="inlineStr">
        <is>
          <t>Finished Oral Remedies</t>
        </is>
      </c>
      <c r="D13" s="24" t="inlineStr">
        <is>
          <t>No</t>
        </is>
      </c>
      <c r="E13" s="25" t="inlineStr">
        <is>
          <t>Strong legacy margin profile</t>
        </is>
      </c>
      <c r="F13" s="26" t="n">
        <v>4</v>
      </c>
      <c r="G13" s="26" t="n">
        <v>4</v>
      </c>
      <c r="H13" s="26" t="n">
        <v>4</v>
      </c>
      <c r="I13" s="26" t="n">
        <v>4</v>
      </c>
      <c r="J13" s="26" t="n">
        <v>4</v>
      </c>
      <c r="K13" s="26" t="n">
        <v>4</v>
      </c>
      <c r="L13" s="26" t="n">
        <v>3</v>
      </c>
      <c r="M13" s="26" t="n">
        <v>3</v>
      </c>
      <c r="N13" s="27">
        <f>IF(D13="Yes", 0, SUMPRODUCT(F13:M13, $F$7:$M$7))</f>
        <v/>
      </c>
      <c r="O13" s="12">
        <f>IF(D13="Yes", "🔴 Disqualified (Red)", IF(N13&gt;=4.0, "🟢 Hero Candidate", IF(N13&gt;=3.0, "🟡 Amber (Needs Work)", "🔴 Low Priority")))</f>
        <v/>
      </c>
    </row>
    <row r="14">
      <c r="B14" s="13" t="inlineStr">
        <is>
          <t>NMS Skin Clear</t>
        </is>
      </c>
      <c r="C14" s="28" t="inlineStr">
        <is>
          <t>Finished Oral Remedies</t>
        </is>
      </c>
      <c r="D14" s="24" t="inlineStr">
        <is>
          <t>No</t>
        </is>
      </c>
      <c r="E14" s="25" t="inlineStr">
        <is>
          <t>High customer search interest</t>
        </is>
      </c>
      <c r="F14" s="26" t="n">
        <v>3</v>
      </c>
      <c r="G14" s="26" t="n">
        <v>4</v>
      </c>
      <c r="H14" s="26" t="n">
        <v>4</v>
      </c>
      <c r="I14" s="26" t="n">
        <v>3</v>
      </c>
      <c r="J14" s="26" t="n">
        <v>4</v>
      </c>
      <c r="K14" s="26" t="n">
        <v>3</v>
      </c>
      <c r="L14" s="26" t="n">
        <v>4</v>
      </c>
      <c r="M14" s="26" t="n">
        <v>4</v>
      </c>
      <c r="N14" s="27">
        <f>IF(D14="Yes", 0, SUMPRODUCT(F14:M14, $F$7:$M$7))</f>
        <v/>
      </c>
      <c r="O14" s="12">
        <f>IF(D14="Yes", "🔴 Disqualified (Red)", IF(N14&gt;=4.0, "🟢 Hero Candidate", IF(N14&gt;=3.0, "🟡 Amber (Needs Work)", "🔴 Low Priority")))</f>
        <v/>
      </c>
    </row>
    <row r="15">
      <c r="B15" s="6" t="inlineStr">
        <is>
          <t>Nature's Own Chamomile Tea</t>
        </is>
      </c>
      <c r="C15" s="7" t="inlineStr">
        <is>
          <t>Medicinal Teas &amp; Compounds</t>
        </is>
      </c>
      <c r="D15" s="24" t="inlineStr">
        <is>
          <t>No</t>
        </is>
      </c>
      <c r="E15" s="25" t="inlineStr">
        <is>
          <t>Everyday wellness, very low risk</t>
        </is>
      </c>
      <c r="F15" s="26" t="n">
        <v>5</v>
      </c>
      <c r="G15" s="26" t="n">
        <v>5</v>
      </c>
      <c r="H15" s="26" t="n">
        <v>3</v>
      </c>
      <c r="I15" s="26" t="n">
        <v>5</v>
      </c>
      <c r="J15" s="26" t="n">
        <v>3</v>
      </c>
      <c r="K15" s="26" t="n">
        <v>5</v>
      </c>
      <c r="L15" s="26" t="n">
        <v>4</v>
      </c>
      <c r="M15" s="26" t="n">
        <v>5</v>
      </c>
      <c r="N15" s="27">
        <f>IF(D15="Yes", 0, SUMPRODUCT(F15:M15, $F$7:$M$7))</f>
        <v/>
      </c>
      <c r="O15" s="12">
        <f>IF(D15="Yes", "🔴 Disqualified (Red)", IF(N15&gt;=4.0, "🟢 Hero Candidate", IF(N15&gt;=3.0, "🟡 Amber (Needs Work)", "🔴 Low Priority")))</f>
        <v/>
      </c>
    </row>
    <row r="16">
      <c r="B16" s="13" t="inlineStr">
        <is>
          <t>NMS Aloe Vera Topical Cream</t>
        </is>
      </c>
      <c r="C16" s="28" t="inlineStr">
        <is>
          <t>Topical Preparations</t>
        </is>
      </c>
      <c r="D16" s="24" t="inlineStr">
        <is>
          <t>No</t>
        </is>
      </c>
      <c r="E16" s="25" t="inlineStr">
        <is>
          <t>Stable local botanical supply</t>
        </is>
      </c>
      <c r="F16" s="26" t="n">
        <v>5</v>
      </c>
      <c r="G16" s="26" t="n">
        <v>4</v>
      </c>
      <c r="H16" s="26" t="n">
        <v>4</v>
      </c>
      <c r="I16" s="26" t="n">
        <v>5</v>
      </c>
      <c r="J16" s="26" t="n">
        <v>4</v>
      </c>
      <c r="K16" s="26" t="n">
        <v>4</v>
      </c>
      <c r="L16" s="26" t="n">
        <v>5</v>
      </c>
      <c r="M16" s="26" t="n">
        <v>4</v>
      </c>
      <c r="N16" s="27">
        <f>IF(D16="Yes", 0, SUMPRODUCT(F16:M16, $F$7:$M$7))</f>
        <v/>
      </c>
      <c r="O16" s="12">
        <f>IF(D16="Yes", "🔴 Disqualified (Red)", IF(N16&gt;=4.0, "🟢 Hero Candidate", IF(N16&gt;=3.0, "🟡 Amber (Needs Work)", "🔴 Low Priority")))</f>
        <v/>
      </c>
    </row>
    <row r="17">
      <c r="B17" s="6" t="inlineStr">
        <is>
          <t>Dr Ernst Richter's Tea</t>
        </is>
      </c>
      <c r="C17" s="7" t="inlineStr">
        <is>
          <t>Imported Swiss Brands</t>
        </is>
      </c>
      <c r="D17" s="24" t="inlineStr">
        <is>
          <t>No</t>
        </is>
      </c>
      <c r="E17" s="25" t="inlineStr">
        <is>
          <t>Authorized Swiss distribution</t>
        </is>
      </c>
      <c r="F17" s="26" t="n">
        <v>4</v>
      </c>
      <c r="G17" s="26" t="n">
        <v>5</v>
      </c>
      <c r="H17" s="26" t="n">
        <v>3</v>
      </c>
      <c r="I17" s="26" t="n">
        <v>4</v>
      </c>
      <c r="J17" s="26" t="n">
        <v>5</v>
      </c>
      <c r="K17" s="26" t="n">
        <v>4</v>
      </c>
      <c r="L17" s="26" t="n">
        <v>4</v>
      </c>
      <c r="M17" s="26" t="n">
        <v>3</v>
      </c>
      <c r="N17" s="27">
        <f>IF(D17="Yes", 0, SUMPRODUCT(F17:M17, $F$7:$M$7))</f>
        <v/>
      </c>
      <c r="O17" s="12">
        <f>IF(D17="Yes", "🔴 Disqualified (Red)", IF(N17&gt;=4.0, "🟢 Hero Candidate", IF(N17&gt;=3.0, "🟡 Amber (Needs Work)", "🔴 Low Priority")))</f>
        <v/>
      </c>
    </row>
    <row r="18">
      <c r="B18" s="13" t="inlineStr">
        <is>
          <t>NMS Blood Pressure Remedies</t>
        </is>
      </c>
      <c r="C18" s="28" t="inlineStr">
        <is>
          <t>Finished Oral Remedies</t>
        </is>
      </c>
      <c r="D18" s="24" t="inlineStr">
        <is>
          <t>Yes</t>
        </is>
      </c>
      <c r="E18" s="25" t="inlineStr">
        <is>
          <t>Banned cardiovascular claims (RF-01)</t>
        </is>
      </c>
      <c r="F18" s="26" t="n">
        <v>1</v>
      </c>
      <c r="G18" s="26" t="n">
        <v>4</v>
      </c>
      <c r="H18" s="26" t="n">
        <v>4</v>
      </c>
      <c r="I18" s="26" t="n">
        <v>3</v>
      </c>
      <c r="J18" s="26" t="n">
        <v>4</v>
      </c>
      <c r="K18" s="26" t="n">
        <v>2</v>
      </c>
      <c r="L18" s="26" t="n">
        <v>3</v>
      </c>
      <c r="M18" s="26" t="n">
        <v>2</v>
      </c>
      <c r="N18" s="27">
        <f>IF(D18="Yes", 0, SUMPRODUCT(F18:M18, $F$7:$M$7))</f>
        <v/>
      </c>
      <c r="O18" s="12">
        <f>IF(D18="Yes", "🔴 Disqualified (Red)", IF(N18&gt;=4.0, "🟢 Hero Candidate", IF(N18&gt;=3.0, "🟡 Amber (Needs Work)", "🔴 Low Priority")))</f>
        <v/>
      </c>
    </row>
    <row r="19">
      <c r="B19" s="6" t="inlineStr">
        <is>
          <t>NMS Diabetes Treatment</t>
        </is>
      </c>
      <c r="C19" s="7" t="inlineStr">
        <is>
          <t>Finished Oral Remedies</t>
        </is>
      </c>
      <c r="D19" s="24" t="inlineStr">
        <is>
          <t>Yes</t>
        </is>
      </c>
      <c r="E19" s="25" t="inlineStr">
        <is>
          <t>Banned diabetes claims (RF-01)</t>
        </is>
      </c>
      <c r="F19" s="26" t="n">
        <v>1</v>
      </c>
      <c r="G19" s="26" t="n">
        <v>4</v>
      </c>
      <c r="H19" s="26" t="n">
        <v>4</v>
      </c>
      <c r="I19" s="26" t="n">
        <v>3</v>
      </c>
      <c r="J19" s="26" t="n">
        <v>4</v>
      </c>
      <c r="K19" s="26" t="n">
        <v>2</v>
      </c>
      <c r="L19" s="26" t="n">
        <v>3</v>
      </c>
      <c r="M19" s="26" t="n">
        <v>2</v>
      </c>
      <c r="N19" s="27">
        <f>IF(D19="Yes", 0, SUMPRODUCT(F19:M19, $F$7:$M$7))</f>
        <v/>
      </c>
      <c r="O19" s="12">
        <f>IF(D19="Yes", "🔴 Disqualified (Red)", IF(N19&gt;=4.0, "🟢 Hero Candidate", IF(N19&gt;=3.0, "🟡 Amber (Needs Work)", "🔴 Low Priority")))</f>
        <v/>
      </c>
    </row>
    <row r="20">
      <c r="B20" s="13" t="inlineStr">
        <is>
          <t>NMS Slimming Compound</t>
        </is>
      </c>
      <c r="C20" s="28" t="inlineStr">
        <is>
          <t>Finished Oral Remedies</t>
        </is>
      </c>
      <c r="D20" s="24" t="inlineStr">
        <is>
          <t>Yes</t>
        </is>
      </c>
      <c r="E20" s="25" t="inlineStr">
        <is>
          <t>Weight-loss cure claims (RF-01)</t>
        </is>
      </c>
      <c r="F20" s="26" t="n">
        <v>1</v>
      </c>
      <c r="G20" s="26" t="n">
        <v>5</v>
      </c>
      <c r="H20" s="26" t="n">
        <v>5</v>
      </c>
      <c r="I20" s="26" t="n">
        <v>3</v>
      </c>
      <c r="J20" s="26" t="n">
        <v>3</v>
      </c>
      <c r="K20" s="26" t="n">
        <v>2</v>
      </c>
      <c r="L20" s="26" t="n">
        <v>4</v>
      </c>
      <c r="M20" s="26" t="n">
        <v>1</v>
      </c>
      <c r="N20" s="27">
        <f>IF(D20="Yes", 0, SUMPRODUCT(F20:M20, $F$7:$M$7))</f>
        <v/>
      </c>
      <c r="O20" s="12">
        <f>IF(D20="Yes", "🔴 Disqualified (Red)", IF(N20&gt;=4.0, "🟢 Hero Candidate", IF(N20&gt;=3.0, "🟡 Amber (Needs Work)", "🔴 Low Priority")))</f>
        <v/>
      </c>
    </row>
    <row r="21">
      <c r="B21" s="6" t="inlineStr">
        <is>
          <t>NMS Hermes Tea No. 10</t>
        </is>
      </c>
      <c r="C21" s="7" t="inlineStr">
        <is>
          <t>Medicinal Teas &amp; Compounds</t>
        </is>
      </c>
      <c r="D21" s="24" t="inlineStr">
        <is>
          <t>No</t>
        </is>
      </c>
      <c r="E21" s="25" t="inlineStr">
        <is>
          <t>Amber status: requires label update</t>
        </is>
      </c>
      <c r="F21" s="26" t="n">
        <v>4</v>
      </c>
      <c r="G21" s="26" t="n">
        <v>3</v>
      </c>
      <c r="H21" s="26" t="n">
        <v>3</v>
      </c>
      <c r="I21" s="26" t="n">
        <v>4</v>
      </c>
      <c r="J21" s="26" t="n">
        <v>4</v>
      </c>
      <c r="K21" s="26" t="n">
        <v>3</v>
      </c>
      <c r="L21" s="26" t="n">
        <v>3</v>
      </c>
      <c r="M21" s="26" t="n">
        <v>4</v>
      </c>
      <c r="N21" s="27">
        <f>IF(D21="Yes", 0, SUMPRODUCT(F21:M21, $F$7:$M$7))</f>
        <v/>
      </c>
      <c r="O21" s="12">
        <f>IF(D21="Yes", "🔴 Disqualified (Red)", IF(N21&gt;=4.0, "🟢 Hero Candidate", IF(N21&gt;=3.0, "🟡 Amber (Needs Work)", "🔴 Low Priority")))</f>
        <v/>
      </c>
    </row>
    <row r="22">
      <c r="B22" s="13" t="inlineStr">
        <is>
          <t>NMS Herb-A-Lick Salt Substitute</t>
        </is>
      </c>
      <c r="C22" s="28" t="inlineStr">
        <is>
          <t>Nutrition &amp; Substitutes</t>
        </is>
      </c>
      <c r="D22" s="24" t="inlineStr">
        <is>
          <t>No</t>
        </is>
      </c>
      <c r="E22" s="25" t="inlineStr">
        <is>
          <t>Unique heritage salt substitute</t>
        </is>
      </c>
      <c r="F22" s="26" t="n">
        <v>3</v>
      </c>
      <c r="G22" s="26" t="n">
        <v>3</v>
      </c>
      <c r="H22" s="26" t="n">
        <v>4</v>
      </c>
      <c r="I22" s="26" t="n">
        <v>4</v>
      </c>
      <c r="J22" s="26" t="n">
        <v>4</v>
      </c>
      <c r="K22" s="26" t="n">
        <v>3</v>
      </c>
      <c r="L22" s="26" t="n">
        <v>3</v>
      </c>
      <c r="M22" s="26" t="n">
        <v>4</v>
      </c>
      <c r="N22" s="27">
        <f>IF(D22="Yes", 0, SUMPRODUCT(F22:M22, $F$7:$M$7))</f>
        <v/>
      </c>
      <c r="O22" s="12">
        <f>IF(D22="Yes", "🔴 Disqualified (Red)", IF(N22&gt;=4.0, "🟢 Hero Candidate", IF(N22&gt;=3.0, "🟡 Amber (Needs Work)", "🔴 Low Priority")))</f>
        <v/>
      </c>
    </row>
  </sheetData>
  <dataValidations count="1">
    <dataValidation sqref="D11 D12 D13 D14 D15 D16 D17 D18 D19 D20 D21 D2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32" customWidth="1" min="3" max="3"/>
    <col width="28" customWidth="1" min="4" max="4"/>
    <col width="16" customWidth="1" min="5" max="5"/>
    <col width="18" customWidth="1" min="6" max="6"/>
    <col width="24" customWidth="1" min="7" max="7"/>
    <col width="28" customWidth="1" min="8" max="8"/>
    <col width="45" customWidth="1" min="9" max="9"/>
  </cols>
  <sheetData>
    <row r="2">
      <c r="B2" s="1" t="inlineStr">
        <is>
          <t>NMS Reconstructed Legacy SKU Library</t>
        </is>
      </c>
    </row>
    <row r="3">
      <c r="B3" s="16" t="inlineStr">
        <is>
          <t>Reconstituted database of historical NMS products, codes, and initial regulatory triage status.</t>
        </is>
      </c>
    </row>
    <row r="5">
      <c r="B5" s="4" t="inlineStr">
        <is>
          <t>5. BOTANICAL PORTFOLIO TAXONOMY REGISTER</t>
        </is>
      </c>
    </row>
    <row r="6">
      <c r="B6" s="23" t="inlineStr">
        <is>
          <t>Proposed SKU</t>
        </is>
      </c>
      <c r="C6" s="5" t="inlineStr">
        <is>
          <t>Legacy Product Name</t>
        </is>
      </c>
      <c r="D6" s="5" t="inlineStr">
        <is>
          <t>Historical Category Group</t>
        </is>
      </c>
      <c r="E6" s="5" t="inlineStr">
        <is>
          <t>Historical Code</t>
        </is>
      </c>
      <c r="F6" s="5" t="inlineStr">
        <is>
          <t>Historical NAPPI Code</t>
        </is>
      </c>
      <c r="G6" s="23" t="inlineStr">
        <is>
          <t>Historical Price (Ex-VAT)</t>
        </is>
      </c>
      <c r="H6" s="5" t="inlineStr">
        <is>
          <t>Regulatory Triage Status</t>
        </is>
      </c>
      <c r="I6" s="5" t="inlineStr">
        <is>
          <t>Operational Action Required</t>
        </is>
      </c>
    </row>
    <row r="7">
      <c r="B7" s="29" t="inlineStr">
        <is>
          <t>SKU-F930</t>
        </is>
      </c>
      <c r="C7" s="6" t="inlineStr">
        <is>
          <t>NMS Lexan Tablets</t>
        </is>
      </c>
      <c r="D7" s="7" t="inlineStr">
        <is>
          <t>Finished Oral Remedies</t>
        </is>
      </c>
      <c r="E7" s="30" t="inlineStr">
        <is>
          <t>F930</t>
        </is>
      </c>
      <c r="F7" s="30" t="inlineStr">
        <is>
          <t>420311-002</t>
        </is>
      </c>
      <c r="G7" s="31" t="n">
        <v>45.5</v>
      </c>
      <c r="H7" s="32" t="inlineStr">
        <is>
          <t>🟢 GREEN - Hero Candidate</t>
        </is>
      </c>
      <c r="I7" s="7" t="inlineStr">
        <is>
          <t>Evaluate on scorecard; prepare regulatory master record</t>
        </is>
      </c>
    </row>
    <row r="8">
      <c r="B8" s="33" t="inlineStr">
        <is>
          <t>SKU-F932</t>
        </is>
      </c>
      <c r="C8" s="13" t="inlineStr">
        <is>
          <t>NMS Fo-Ti-Tieng Capsules</t>
        </is>
      </c>
      <c r="D8" s="28" t="inlineStr">
        <is>
          <t>Finished Oral Remedies</t>
        </is>
      </c>
      <c r="E8" s="34" t="inlineStr">
        <is>
          <t>F932</t>
        </is>
      </c>
      <c r="F8" s="34" t="inlineStr">
        <is>
          <t>420320-001</t>
        </is>
      </c>
      <c r="G8" s="35" t="n">
        <v>52</v>
      </c>
      <c r="H8" s="32" t="inlineStr">
        <is>
          <t>🟢 GREEN - Hero Candidate</t>
        </is>
      </c>
      <c r="I8" s="28" t="inlineStr">
        <is>
          <t>Evaluate on scorecard; prepare packaging brief</t>
        </is>
      </c>
    </row>
    <row r="9">
      <c r="B9" s="29" t="inlineStr">
        <is>
          <t>SKU-F937</t>
        </is>
      </c>
      <c r="C9" s="6" t="inlineStr">
        <is>
          <t>NMS Cystosan Tablets</t>
        </is>
      </c>
      <c r="D9" s="7" t="inlineStr">
        <is>
          <t>Finished Oral Remedies</t>
        </is>
      </c>
      <c r="E9" s="30" t="inlineStr">
        <is>
          <t>F937</t>
        </is>
      </c>
      <c r="F9" s="30" t="inlineStr">
        <is>
          <t>420330-004</t>
        </is>
      </c>
      <c r="G9" s="31" t="n">
        <v>48</v>
      </c>
      <c r="H9" s="32" t="inlineStr">
        <is>
          <t>🟢 GREEN - Hero Candidate</t>
        </is>
      </c>
      <c r="I9" s="7" t="inlineStr">
        <is>
          <t>Evaluate on scorecard; confirm supply constraints</t>
        </is>
      </c>
    </row>
    <row r="10">
      <c r="B10" s="33" t="inlineStr">
        <is>
          <t>SKU-F920</t>
        </is>
      </c>
      <c r="C10" s="13" t="inlineStr">
        <is>
          <t>Hermes Tea No. 6</t>
        </is>
      </c>
      <c r="D10" s="28" t="inlineStr">
        <is>
          <t>Imported Swiss Brands</t>
        </is>
      </c>
      <c r="E10" s="34" t="inlineStr">
        <is>
          <t>F920</t>
        </is>
      </c>
      <c r="F10" s="34" t="inlineStr">
        <is>
          <t>410220-001</t>
        </is>
      </c>
      <c r="G10" s="35" t="n">
        <v>65</v>
      </c>
      <c r="H10" s="36" t="inlineStr">
        <is>
          <t>🟡 AMBER - Needs Work</t>
        </is>
      </c>
      <c r="I10" s="28" t="inlineStr">
        <is>
          <t>Check South African distribution rights &amp; label compliance</t>
        </is>
      </c>
    </row>
    <row r="11">
      <c r="B11" s="29" t="inlineStr">
        <is>
          <t>SKU-F921</t>
        </is>
      </c>
      <c r="C11" s="6" t="inlineStr">
        <is>
          <t>Hermes Tea No. 8</t>
        </is>
      </c>
      <c r="D11" s="7" t="inlineStr">
        <is>
          <t>Imported Swiss Brands</t>
        </is>
      </c>
      <c r="E11" s="30" t="inlineStr">
        <is>
          <t>F921</t>
        </is>
      </c>
      <c r="F11" s="30" t="inlineStr">
        <is>
          <t>410221-002</t>
        </is>
      </c>
      <c r="G11" s="31" t="n">
        <v>65</v>
      </c>
      <c r="H11" s="36" t="inlineStr">
        <is>
          <t>🟡 AMBER - Needs Work</t>
        </is>
      </c>
      <c r="I11" s="7" t="inlineStr">
        <is>
          <t>Check South African distribution rights &amp; label compliance</t>
        </is>
      </c>
    </row>
    <row r="12">
      <c r="B12" s="33" t="inlineStr">
        <is>
          <t>SKU-F908</t>
        </is>
      </c>
      <c r="C12" s="13" t="inlineStr">
        <is>
          <t>NMS Asthma &amp; Bronchitis Remedy</t>
        </is>
      </c>
      <c r="D12" s="28" t="inlineStr">
        <is>
          <t>Finished Oral Remedies</t>
        </is>
      </c>
      <c r="E12" s="34" t="inlineStr">
        <is>
          <t>F908</t>
        </is>
      </c>
      <c r="F12" s="34" t="inlineStr">
        <is>
          <t>Pending</t>
        </is>
      </c>
      <c r="G12" s="35" t="n">
        <v>38</v>
      </c>
      <c r="H12" s="14" t="inlineStr">
        <is>
          <t>🔴 RED - Quarantine</t>
        </is>
      </c>
      <c r="I12" s="28" t="inlineStr">
        <is>
          <t>Remove from roadmap. High-risk therapeutic claims (RF-01).</t>
        </is>
      </c>
    </row>
    <row r="13">
      <c r="B13" s="29" t="inlineStr">
        <is>
          <t>SKU-F909</t>
        </is>
      </c>
      <c r="C13" s="6" t="inlineStr">
        <is>
          <t>NMS Blood Pressure Tablets</t>
        </is>
      </c>
      <c r="D13" s="7" t="inlineStr">
        <is>
          <t>Finished Oral Remedies</t>
        </is>
      </c>
      <c r="E13" s="30" t="inlineStr">
        <is>
          <t>F909</t>
        </is>
      </c>
      <c r="F13" s="30" t="inlineStr">
        <is>
          <t>Pending</t>
        </is>
      </c>
      <c r="G13" s="31" t="n">
        <v>42</v>
      </c>
      <c r="H13" s="14" t="inlineStr">
        <is>
          <t>🔴 RED - Quarantine</t>
        </is>
      </c>
      <c r="I13" s="7" t="inlineStr">
        <is>
          <t>Remove from roadmap. Banned cardiovascular claims (RF-01).</t>
        </is>
      </c>
    </row>
    <row r="14">
      <c r="B14" s="33" t="inlineStr">
        <is>
          <t>SKU-R956</t>
        </is>
      </c>
      <c r="C14" s="13" t="inlineStr">
        <is>
          <t>NMS Arthritis Formula</t>
        </is>
      </c>
      <c r="D14" s="28" t="inlineStr">
        <is>
          <t>Finished Oral Remedies</t>
        </is>
      </c>
      <c r="E14" s="34" t="inlineStr">
        <is>
          <t>R956</t>
        </is>
      </c>
      <c r="F14" s="34" t="inlineStr">
        <is>
          <t>415600-001</t>
        </is>
      </c>
      <c r="G14" s="35" t="n">
        <v>55</v>
      </c>
      <c r="H14" s="14" t="inlineStr">
        <is>
          <t>🔴 RED - Quarantine</t>
        </is>
      </c>
      <c r="I14" s="28" t="inlineStr">
        <is>
          <t>Remove from roadmap. Banned chronic condition treatment claim.</t>
        </is>
      </c>
    </row>
    <row r="15">
      <c r="B15" s="29" t="inlineStr">
        <is>
          <t>SKU-F950</t>
        </is>
      </c>
      <c r="C15" s="6" t="inlineStr">
        <is>
          <t>NMS Skin Clear</t>
        </is>
      </c>
      <c r="D15" s="7" t="inlineStr">
        <is>
          <t>Finished Oral Remedies</t>
        </is>
      </c>
      <c r="E15" s="30" t="inlineStr">
        <is>
          <t>F950</t>
        </is>
      </c>
      <c r="F15" s="30" t="inlineStr">
        <is>
          <t>420550-002</t>
        </is>
      </c>
      <c r="G15" s="31" t="n">
        <v>34</v>
      </c>
      <c r="H15" s="32" t="inlineStr">
        <is>
          <t>🟢 GREEN - Hero Candidate</t>
        </is>
      </c>
      <c r="I15" s="7" t="inlineStr">
        <is>
          <t>Proceed with scorecard; compile customer search keywords</t>
        </is>
      </c>
    </row>
    <row r="16">
      <c r="B16" s="33" t="inlineStr">
        <is>
          <t>SKU-T101</t>
        </is>
      </c>
      <c r="C16" s="13" t="inlineStr">
        <is>
          <t>Nature's Own Chamomile Tea</t>
        </is>
      </c>
      <c r="D16" s="28" t="inlineStr">
        <is>
          <t>Medicinal Teas &amp; Compounds</t>
        </is>
      </c>
      <c r="E16" s="34" t="inlineStr">
        <is>
          <t>T101</t>
        </is>
      </c>
      <c r="F16" s="34" t="inlineStr">
        <is>
          <t>401201-001</t>
        </is>
      </c>
      <c r="G16" s="35" t="n">
        <v>18.5</v>
      </c>
      <c r="H16" s="32" t="inlineStr">
        <is>
          <t>🟢 GREEN - Hero Candidate</t>
        </is>
      </c>
      <c r="I16" s="28" t="inlineStr">
        <is>
          <t>Proceed with scorecard; compile packaging structure requirements</t>
        </is>
      </c>
    </row>
    <row r="17">
      <c r="B17" s="29" t="inlineStr">
        <is>
          <t>SKU-T102</t>
        </is>
      </c>
      <c r="C17" s="6" t="inlineStr">
        <is>
          <t>Nature's Own Aloe Vera Topical</t>
        </is>
      </c>
      <c r="D17" s="7" t="inlineStr">
        <is>
          <t>Topical Preparations</t>
        </is>
      </c>
      <c r="E17" s="30" t="inlineStr">
        <is>
          <t>T102</t>
        </is>
      </c>
      <c r="F17" s="30" t="inlineStr">
        <is>
          <t>401205-003</t>
        </is>
      </c>
      <c r="G17" s="31" t="n">
        <v>29.9</v>
      </c>
      <c r="H17" s="32" t="inlineStr">
        <is>
          <t>🟢 GREEN - Hero Candidate</t>
        </is>
      </c>
      <c r="I17" s="7" t="inlineStr">
        <is>
          <t>Proceed with scorecard; verify local sourcing sustainability</t>
        </is>
      </c>
    </row>
    <row r="18">
      <c r="B18" s="33" t="inlineStr">
        <is>
          <t>SKU-H101</t>
        </is>
      </c>
      <c r="C18" s="13" t="inlineStr">
        <is>
          <t>Herb-A-Lick Salt Substitute</t>
        </is>
      </c>
      <c r="D18" s="28" t="inlineStr">
        <is>
          <t>Nutrition &amp; Substitutes</t>
        </is>
      </c>
      <c r="E18" s="34" t="inlineStr">
        <is>
          <t>H101</t>
        </is>
      </c>
      <c r="F18" s="34" t="inlineStr">
        <is>
          <t>Pending</t>
        </is>
      </c>
      <c r="G18" s="35" t="n">
        <v>22</v>
      </c>
      <c r="H18" s="32" t="inlineStr">
        <is>
          <t>🟢 GREEN - Hero Candidate</t>
        </is>
      </c>
      <c r="I18" s="28" t="inlineStr">
        <is>
          <t>Proceed with scorecard; verify classification as dietary/food</t>
        </is>
      </c>
    </row>
    <row r="19">
      <c r="B19" s="29" t="inlineStr">
        <is>
          <t>SKU-K101</t>
        </is>
      </c>
      <c r="C19" s="6" t="inlineStr">
        <is>
          <t>Dr Ernst Richter's Tea</t>
        </is>
      </c>
      <c r="D19" s="7" t="inlineStr">
        <is>
          <t>Imported Swiss Brands</t>
        </is>
      </c>
      <c r="E19" s="30" t="inlineStr">
        <is>
          <t>K101</t>
        </is>
      </c>
      <c r="F19" s="30" t="inlineStr">
        <is>
          <t>411200-001</t>
        </is>
      </c>
      <c r="G19" s="31" t="n">
        <v>72</v>
      </c>
      <c r="H19" s="32" t="inlineStr">
        <is>
          <t>🟢 GREEN - Hero Candidate</t>
        </is>
      </c>
      <c r="I19" s="7" t="inlineStr">
        <is>
          <t>Proceed with scorecard; verify import lead times and pricing</t>
        </is>
      </c>
    </row>
    <row r="20">
      <c r="B20" s="33" t="inlineStr">
        <is>
          <t>SKU-K102</t>
        </is>
      </c>
      <c r="C20" s="13" t="inlineStr">
        <is>
          <t>Kernosan Ointment (Imported)</t>
        </is>
      </c>
      <c r="D20" s="28" t="inlineStr">
        <is>
          <t>Imported Swiss Brands</t>
        </is>
      </c>
      <c r="E20" s="34" t="inlineStr">
        <is>
          <t>K102</t>
        </is>
      </c>
      <c r="F20" s="34" t="inlineStr">
        <is>
          <t>Pending</t>
        </is>
      </c>
      <c r="G20" s="35" t="n">
        <v>58</v>
      </c>
      <c r="H20" s="36" t="inlineStr">
        <is>
          <t>🟡 AMBER - Needs Work</t>
        </is>
      </c>
      <c r="I20" s="28" t="inlineStr">
        <is>
          <t>Verify SAHPRA filing status and update safety labeling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2026-08-17T07:45:51Z</dcterms:created>
  <dcterms:modified xmlns:dcterms="http://purl.org/dc/terms/" xmlns:xsi="http://www.w3.org/2001/XMLSchema-instance" xsi:type="dcterms:W3CDTF">2026-08-17T07:45:51Z</dcterms:modified>
</cp:coreProperties>
</file>